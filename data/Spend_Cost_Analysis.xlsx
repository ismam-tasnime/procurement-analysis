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F:\"/>
    </mc:Choice>
  </mc:AlternateContent>
  <xr:revisionPtr revIDLastSave="0" documentId="13_ncr:1_{4AF91EEC-3095-476C-8852-28D18717C6D7}" xr6:coauthVersionLast="47" xr6:coauthVersionMax="47" xr10:uidLastSave="{00000000-0000-0000-0000-000000000000}"/>
  <bookViews>
    <workbookView xWindow="-108" yWindow="-108" windowWidth="23256" windowHeight="12456" xr2:uid="{DBEBB5DB-9F16-4709-9DE9-5166F6CBE828}"/>
  </bookViews>
  <sheets>
    <sheet name="Dashboard" sheetId="5" r:id="rId1"/>
    <sheet name="Details" sheetId="6" r:id="rId2"/>
    <sheet name="Sheet2" sheetId="2" r:id="rId3"/>
    <sheet name="Dashboard Data" sheetId="3" r:id="rId4"/>
  </sheets>
  <definedNames>
    <definedName name="_xlnm.Print_Area" localSheetId="0">Dashboard!$A$1:$T$96</definedName>
    <definedName name="Slicer_Quarter">#N/A</definedName>
    <definedName name="Slicer_Region">#N/A</definedName>
    <definedName name="Slicer_Vendor_Name">#N/A</definedName>
    <definedName name="Slicer_Year">#N/A</definedName>
  </definedNames>
  <calcPr calcId="191029" iterateDelta="1E-4"/>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alendar_3bc55b51-c85f-4a1d-9ba6-2e6ebfefbdc6" name="Dim_Calendar" connection="Query - Dim_Calendar"/>
          <x15:modelTable id="Dim_Department_e826f7fc-12de-47e2-aa54-1d6b3bf6a7d9" name="Dim_Department" connection="Query - Dim_Department"/>
          <x15:modelTable id="Dim_Item_d8463a0e-4ced-48d0-864f-7f1adb56d347" name="Dim_Item" connection="Query - Dim_Item"/>
          <x15:modelTable id="Dim_Vendor_33196361-86f3-4cb7-b32e-1735bc4a6965" name="Dim_Vendor" connection="Query - Dim_Vendor"/>
          <x15:modelTable id="PO_Fact_7e39bd1c-e647-4e75-93d0-e50726487ebc" name="PO_Fact" connection="Query - PO_Fact"/>
        </x15:modelTables>
        <x15:modelRelationships>
          <x15:modelRelationship fromTable="PO_Fact" fromColumn="Vendor ID" toTable="Dim_Vendor" toColumn="Vendor ID"/>
          <x15:modelRelationship fromTable="PO_Fact" fromColumn="Item ID" toTable="Dim_Item" toColumn="Item ID"/>
          <x15:modelRelationship fromTable="PO_Fact" fromColumn="Dept ID" toTable="Dim_Department" toColumn="Dept ID"/>
          <x15:modelRelationship fromTable="PO_Fact" fromColumn="Order Date" toTable="Dim_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72" i="5" l="1"/>
  <c r="B77" i="5"/>
  <c r="B73" i="5"/>
  <c r="B71" i="5"/>
  <c r="C35" i="6"/>
  <c r="C36" i="6"/>
  <c r="C37" i="6"/>
  <c r="C38" i="6"/>
  <c r="C39" i="6"/>
  <c r="C40" i="6"/>
  <c r="C41" i="6"/>
  <c r="B72" i="5"/>
  <c r="B24" i="6"/>
  <c r="C24" i="6"/>
  <c r="F24" i="6"/>
  <c r="C25" i="6"/>
  <c r="F25" i="6" s="1"/>
  <c r="C26" i="6" a="1"/>
  <c r="C26" i="6" s="1"/>
  <c r="F26" i="6" s="1"/>
  <c r="C27" i="6" a="1"/>
  <c r="C27" i="6" s="1"/>
  <c r="F27" i="6" s="1"/>
  <c r="C28" i="6"/>
  <c r="F28" i="6" s="1"/>
  <c r="C29" i="6" a="1"/>
  <c r="C29" i="6" s="1"/>
  <c r="F29" i="6" s="1"/>
  <c r="R11" i="6"/>
  <c r="S11" i="6"/>
  <c r="P7" i="6"/>
  <c r="Q7" i="6"/>
  <c r="R7" i="6"/>
  <c r="S7" i="6"/>
  <c r="P8" i="6"/>
  <c r="Q8" i="6"/>
  <c r="R8" i="6"/>
  <c r="S8" i="6"/>
  <c r="P9" i="6"/>
  <c r="Q9" i="6"/>
  <c r="R9" i="6"/>
  <c r="S9" i="6"/>
  <c r="P10" i="6"/>
  <c r="Q10" i="6"/>
  <c r="R10" i="6"/>
  <c r="S10" i="6"/>
  <c r="L13" i="6"/>
  <c r="M13" i="6"/>
  <c r="J7" i="6"/>
  <c r="K7" i="6"/>
  <c r="L7" i="6"/>
  <c r="M7" i="6"/>
  <c r="N7" i="6"/>
  <c r="J8" i="6"/>
  <c r="K8" i="6"/>
  <c r="L8" i="6"/>
  <c r="M8" i="6"/>
  <c r="N8" i="6"/>
  <c r="J9" i="6"/>
  <c r="K9" i="6"/>
  <c r="L9" i="6"/>
  <c r="M9" i="6"/>
  <c r="N9" i="6"/>
  <c r="J10" i="6"/>
  <c r="K10" i="6"/>
  <c r="L10" i="6"/>
  <c r="M10" i="6"/>
  <c r="N10" i="6"/>
  <c r="J11" i="6"/>
  <c r="K11" i="6"/>
  <c r="L11" i="6"/>
  <c r="M11" i="6"/>
  <c r="N11" i="6"/>
  <c r="J12" i="6"/>
  <c r="K12" i="6"/>
  <c r="L12" i="6"/>
  <c r="M12" i="6"/>
  <c r="N12" i="6"/>
  <c r="D19" i="6"/>
  <c r="E19" i="6"/>
  <c r="B7" i="6"/>
  <c r="C7" i="6"/>
  <c r="D7" i="6"/>
  <c r="E7" i="6"/>
  <c r="G7" i="6"/>
  <c r="H7" i="6"/>
  <c r="B8" i="6"/>
  <c r="C8" i="6"/>
  <c r="D8" i="6"/>
  <c r="E8" i="6"/>
  <c r="F8" i="6"/>
  <c r="G8" i="6"/>
  <c r="H8" i="6"/>
  <c r="B9" i="6"/>
  <c r="C9" i="6"/>
  <c r="D9" i="6"/>
  <c r="E9" i="6"/>
  <c r="F9" i="6"/>
  <c r="G9" i="6"/>
  <c r="H9" i="6"/>
  <c r="B10" i="6"/>
  <c r="C10" i="6"/>
  <c r="D10" i="6"/>
  <c r="E10" i="6"/>
  <c r="F10" i="6"/>
  <c r="G10" i="6"/>
  <c r="H10" i="6"/>
  <c r="B11" i="6"/>
  <c r="C11" i="6"/>
  <c r="D11" i="6"/>
  <c r="E11" i="6"/>
  <c r="F11" i="6"/>
  <c r="G11" i="6"/>
  <c r="H11" i="6"/>
  <c r="B12" i="6"/>
  <c r="C12" i="6"/>
  <c r="D12" i="6"/>
  <c r="E12" i="6"/>
  <c r="F12" i="6"/>
  <c r="G12" i="6"/>
  <c r="H12" i="6"/>
  <c r="B13" i="6"/>
  <c r="C13" i="6"/>
  <c r="D13" i="6"/>
  <c r="E13" i="6"/>
  <c r="F13" i="6"/>
  <c r="G13" i="6"/>
  <c r="H13" i="6"/>
  <c r="B14" i="6"/>
  <c r="C14" i="6"/>
  <c r="D14" i="6"/>
  <c r="E14" i="6"/>
  <c r="F14" i="6"/>
  <c r="G14" i="6"/>
  <c r="H14" i="6"/>
  <c r="B15" i="6"/>
  <c r="C15" i="6"/>
  <c r="D15" i="6"/>
  <c r="E15" i="6"/>
  <c r="F15" i="6"/>
  <c r="G15" i="6"/>
  <c r="H15" i="6"/>
  <c r="B16" i="6"/>
  <c r="C16" i="6"/>
  <c r="D16" i="6"/>
  <c r="E16" i="6"/>
  <c r="F16" i="6"/>
  <c r="G16" i="6"/>
  <c r="H16" i="6"/>
  <c r="B17" i="6"/>
  <c r="C17" i="6"/>
  <c r="D17" i="6"/>
  <c r="E17" i="6"/>
  <c r="F17" i="6"/>
  <c r="G17" i="6"/>
  <c r="H17" i="6"/>
  <c r="B18" i="6"/>
  <c r="C18" i="6"/>
  <c r="D18" i="6"/>
  <c r="E18" i="6"/>
  <c r="F18" i="6"/>
  <c r="G18" i="6"/>
  <c r="H18" i="6"/>
  <c r="H22" i="3"/>
  <c r="I22" i="3"/>
  <c r="H23" i="3"/>
  <c r="I23" i="3"/>
  <c r="H24" i="3"/>
  <c r="I24" i="3"/>
  <c r="H25" i="3"/>
  <c r="I25" i="3"/>
  <c r="H26" i="3"/>
  <c r="I26" i="3"/>
  <c r="H27" i="3"/>
  <c r="I27" i="3"/>
  <c r="P27" i="3"/>
  <c r="O27" i="3"/>
  <c r="N27" i="3"/>
  <c r="P26" i="3"/>
  <c r="O26" i="3"/>
  <c r="N26" i="3"/>
  <c r="P25" i="3"/>
  <c r="O25" i="3"/>
  <c r="N25" i="3"/>
  <c r="P24" i="3"/>
  <c r="O24" i="3"/>
  <c r="N24" i="3"/>
  <c r="P23" i="3"/>
  <c r="O23" i="3"/>
  <c r="N23" i="3"/>
  <c r="L25" i="3"/>
  <c r="K25" i="3"/>
  <c r="L24" i="3"/>
  <c r="K24" i="3"/>
  <c r="L23" i="3"/>
  <c r="K23" i="3"/>
  <c r="F25" i="3"/>
  <c r="E25" i="3"/>
  <c r="F24" i="3"/>
  <c r="E24" i="3"/>
  <c r="F23" i="3"/>
  <c r="E23" i="3"/>
  <c r="C33" i="3"/>
  <c r="B33" i="3"/>
  <c r="A33" i="3"/>
  <c r="C32" i="3"/>
  <c r="B32" i="3"/>
  <c r="A32" i="3"/>
  <c r="C31" i="3"/>
  <c r="B31" i="3"/>
  <c r="A31" i="3"/>
  <c r="C30" i="3"/>
  <c r="B30" i="3"/>
  <c r="A30" i="3"/>
  <c r="C29" i="3"/>
  <c r="B29" i="3"/>
  <c r="A29" i="3"/>
  <c r="C28" i="3"/>
  <c r="B28" i="3"/>
  <c r="A28" i="3"/>
  <c r="C27" i="3"/>
  <c r="B27" i="3"/>
  <c r="A27" i="3"/>
  <c r="C26" i="3"/>
  <c r="B26" i="3"/>
  <c r="A26" i="3"/>
  <c r="C25" i="3"/>
  <c r="B25" i="3"/>
  <c r="A25" i="3"/>
  <c r="C24" i="3"/>
  <c r="B24" i="3"/>
  <c r="A24" i="3"/>
  <c r="C23" i="3"/>
  <c r="B23" i="3"/>
  <c r="A23" i="3"/>
  <c r="P22" i="3"/>
  <c r="O22" i="3"/>
  <c r="N22" i="3"/>
  <c r="L22" i="3"/>
  <c r="K22" i="3"/>
  <c r="F22" i="3"/>
  <c r="E22" i="3"/>
  <c r="C22" i="3"/>
  <c r="B22" i="3"/>
  <c r="A22" i="3"/>
  <c r="B70" i="5"/>
  <c r="G73" i="5"/>
  <c r="G77" i="5"/>
  <c r="G76" i="5"/>
  <c r="B76" i="5"/>
  <c r="G75" i="5"/>
  <c r="B75" i="5"/>
  <c r="G74" i="5"/>
  <c r="B74" i="5"/>
  <c r="G71" i="5"/>
  <c r="G70" i="5"/>
  <c r="Q7" i="5"/>
  <c r="Q6" i="5"/>
  <c r="N7" i="5"/>
  <c r="N6" i="5"/>
  <c r="K7" i="5"/>
  <c r="K6" i="5"/>
  <c r="H7" i="5"/>
  <c r="H6" i="5"/>
  <c r="E7" i="5"/>
  <c r="E6" i="5"/>
  <c r="B6" i="5"/>
  <c r="W4" i="3"/>
  <c r="W8" i="3" s="1"/>
  <c r="W5" i="3"/>
  <c r="V5" i="3" s="1"/>
  <c r="W6" i="3"/>
  <c r="V6" i="3" s="1"/>
  <c r="V7" i="3"/>
  <c r="W7" i="3"/>
  <c r="X7" i="3" s="1"/>
  <c r="Q10" i="3"/>
  <c r="Q4" i="3"/>
  <c r="P4" i="3" s="1"/>
  <c r="Q5" i="3"/>
  <c r="P5" i="3" s="1"/>
  <c r="R5" i="3"/>
  <c r="Q6" i="3"/>
  <c r="P6" i="3" s="1"/>
  <c r="Q7" i="3"/>
  <c r="P7" i="3" s="1"/>
  <c r="R7" i="3"/>
  <c r="Q8" i="3"/>
  <c r="P8" i="3" s="1"/>
  <c r="Q9" i="3"/>
  <c r="P9" i="3" s="1"/>
  <c r="R9" i="3"/>
  <c r="A4" i="3"/>
  <c r="B4" i="3"/>
  <c r="C4" i="3"/>
  <c r="L7" i="3" s="1"/>
  <c r="D4" i="3"/>
  <c r="A5" i="3"/>
  <c r="B5" i="3"/>
  <c r="C5" i="3"/>
  <c r="D5" i="3"/>
  <c r="F5" i="3"/>
  <c r="I5" i="3"/>
  <c r="G5" i="3" s="1"/>
  <c r="A6" i="3"/>
  <c r="B6" i="3"/>
  <c r="C6" i="3"/>
  <c r="D6" i="3"/>
  <c r="F6" i="3"/>
  <c r="A7" i="3"/>
  <c r="B7" i="3"/>
  <c r="C7" i="3"/>
  <c r="D7" i="3"/>
  <c r="F7" i="3"/>
  <c r="I7" i="3"/>
  <c r="G7" i="3" s="1"/>
  <c r="A8" i="3"/>
  <c r="B8" i="3"/>
  <c r="C8" i="3"/>
  <c r="D8" i="3"/>
  <c r="D16" i="3" s="1"/>
  <c r="F8" i="3"/>
  <c r="I8" i="3"/>
  <c r="G8" i="3" s="1"/>
  <c r="A9" i="3"/>
  <c r="B9" i="3"/>
  <c r="C9" i="3"/>
  <c r="D9" i="3"/>
  <c r="I10" i="3" s="1"/>
  <c r="G10" i="3" s="1"/>
  <c r="I9" i="3"/>
  <c r="G9" i="3" s="1"/>
  <c r="A10" i="3"/>
  <c r="B10" i="3"/>
  <c r="C10" i="3"/>
  <c r="D10" i="3"/>
  <c r="I12" i="3" s="1"/>
  <c r="A11" i="3"/>
  <c r="B11" i="3"/>
  <c r="C11" i="3"/>
  <c r="D11" i="3"/>
  <c r="F11" i="3"/>
  <c r="I11" i="3"/>
  <c r="G11" i="3" s="1"/>
  <c r="A12" i="3"/>
  <c r="B12" i="3"/>
  <c r="C12" i="3"/>
  <c r="D12" i="3"/>
  <c r="G12" i="3" s="1"/>
  <c r="F12" i="3"/>
  <c r="A13" i="3"/>
  <c r="B13" i="3"/>
  <c r="C13" i="3"/>
  <c r="D13" i="3"/>
  <c r="F13" i="3" s="1"/>
  <c r="A14" i="3"/>
  <c r="B14" i="3"/>
  <c r="C14" i="3"/>
  <c r="D14" i="3"/>
  <c r="A15" i="3"/>
  <c r="B15" i="3"/>
  <c r="C15" i="3"/>
  <c r="D15" i="3"/>
  <c r="E4" i="3" l="1"/>
  <c r="E5" i="3"/>
  <c r="H11" i="3"/>
  <c r="H12" i="3"/>
  <c r="E15" i="3"/>
  <c r="H6" i="3"/>
  <c r="H14" i="3"/>
  <c r="H9" i="3"/>
  <c r="H4" i="3"/>
  <c r="E7" i="3"/>
  <c r="H5" i="3"/>
  <c r="E8" i="3"/>
  <c r="H13" i="3"/>
  <c r="E9" i="3"/>
  <c r="H10" i="3"/>
  <c r="E13" i="3"/>
  <c r="H7" i="3"/>
  <c r="H15" i="3"/>
  <c r="H8" i="3"/>
  <c r="E11" i="3"/>
  <c r="E12" i="3"/>
  <c r="E6" i="3"/>
  <c r="E14" i="3"/>
  <c r="X5" i="3"/>
  <c r="L6" i="3"/>
  <c r="F10" i="3"/>
  <c r="I14" i="3"/>
  <c r="E10" i="3"/>
  <c r="F9" i="3"/>
  <c r="I6" i="3"/>
  <c r="G6" i="3" s="1"/>
  <c r="L5" i="3"/>
  <c r="X4" i="3"/>
  <c r="F15" i="3"/>
  <c r="I4" i="3"/>
  <c r="G4" i="3" s="1"/>
  <c r="L4" i="3"/>
  <c r="R8" i="3"/>
  <c r="R6" i="3"/>
  <c r="R4" i="3"/>
  <c r="X6" i="3"/>
  <c r="V4" i="3"/>
  <c r="I15" i="3"/>
  <c r="G15" i="3" s="1"/>
  <c r="I13" i="3"/>
  <c r="G13" i="3" s="1"/>
  <c r="G14" i="3"/>
  <c r="F14" i="3"/>
  <c r="S4" i="3" l="1"/>
  <c r="S6" i="3"/>
  <c r="S8" i="3"/>
  <c r="R10" i="3"/>
  <c r="S5" i="3"/>
  <c r="S7" i="3"/>
  <c r="S9" i="3"/>
  <c r="L8" i="3"/>
  <c r="M7" i="3" s="1"/>
  <c r="X8" i="3"/>
  <c r="E16" i="3"/>
  <c r="M6" i="3" l="1"/>
  <c r="M4" i="3"/>
  <c r="M5" i="3"/>
  <c r="M8"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80587E-8A36-41C8-A56E-3586799687B3}" name="Query - Dim_Calendar" description="Connection to the 'Dim_Calendar' query in the workbook." type="100" refreshedVersion="8" minRefreshableVersion="5">
    <extLst>
      <ext xmlns:x15="http://schemas.microsoft.com/office/spreadsheetml/2010/11/main" uri="{DE250136-89BD-433C-8126-D09CA5730AF9}">
        <x15:connection id="56291e20-43e8-4c7b-9770-80d9e06441d1"/>
      </ext>
    </extLst>
  </connection>
  <connection id="2" xr16:uid="{57707914-3410-4CB2-901B-772AA1C542DB}" name="Query - Dim_Department" description="Connection to the 'Dim_Department' query in the workbook." type="100" refreshedVersion="8" minRefreshableVersion="5">
    <extLst>
      <ext xmlns:x15="http://schemas.microsoft.com/office/spreadsheetml/2010/11/main" uri="{DE250136-89BD-433C-8126-D09CA5730AF9}">
        <x15:connection id="3fe2c7c9-6d95-4099-8e9b-549e5a21c25a"/>
      </ext>
    </extLst>
  </connection>
  <connection id="3" xr16:uid="{BC5D09A8-C9CF-4EA1-ACCD-C6A5B1825E68}" name="Query - Dim_Item" description="Connection to the 'Dim_Item' query in the workbook." type="100" refreshedVersion="8" minRefreshableVersion="5">
    <extLst>
      <ext xmlns:x15="http://schemas.microsoft.com/office/spreadsheetml/2010/11/main" uri="{DE250136-89BD-433C-8126-D09CA5730AF9}">
        <x15:connection id="6200cd95-e9d2-4b01-b64e-d4f431e9f8f2"/>
      </ext>
    </extLst>
  </connection>
  <connection id="4" xr16:uid="{139FFF93-43A6-4C7F-95AB-455CD50F5052}" name="Query - Dim_Vendor" description="Connection to the 'Dim_Vendor' query in the workbook." type="100" refreshedVersion="8" minRefreshableVersion="5">
    <extLst>
      <ext xmlns:x15="http://schemas.microsoft.com/office/spreadsheetml/2010/11/main" uri="{DE250136-89BD-433C-8126-D09CA5730AF9}">
        <x15:connection id="f694761f-a490-457e-a6ea-611f81521722"/>
      </ext>
    </extLst>
  </connection>
  <connection id="5" xr16:uid="{C20B7245-3D14-4B09-8F55-B54F623EEFF8}" name="Query - PO_Fact" description="Connection to the 'PO_Fact' query in the workbook." type="100" refreshedVersion="8" minRefreshableVersion="5">
    <extLst>
      <ext xmlns:x15="http://schemas.microsoft.com/office/spreadsheetml/2010/11/main" uri="{DE250136-89BD-433C-8126-D09CA5730AF9}">
        <x15:connection id="390fdeeb-86d0-436d-8b6e-381ee1b79d55"/>
      </ext>
    </extLst>
  </connection>
  <connection id="6" xr16:uid="{6F558D88-8D93-4C78-B211-7EA178F3B02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<sst xmlns="http://schemas.openxmlformats.org/spreadsheetml/2006/main" count="140" uniqueCount="93">
  <si>
    <t>Total Spend</t>
  </si>
  <si>
    <t>Total Order</t>
  </si>
  <si>
    <t>Total Order QTY</t>
  </si>
  <si>
    <t>Avg. Order QTY</t>
  </si>
  <si>
    <t>Per Order Vlue</t>
  </si>
  <si>
    <t>Admin</t>
  </si>
  <si>
    <t>IT</t>
  </si>
  <si>
    <t>Production</t>
  </si>
  <si>
    <t>Supply Chain</t>
  </si>
  <si>
    <t>Grand Total</t>
  </si>
  <si>
    <t>Department Name</t>
  </si>
  <si>
    <t>Category</t>
  </si>
  <si>
    <t>IT Equipment</t>
  </si>
  <si>
    <t>Logistics</t>
  </si>
  <si>
    <t>MRO</t>
  </si>
  <si>
    <t>Office Supplies</t>
  </si>
  <si>
    <t>Packaging</t>
  </si>
  <si>
    <t>Raw Materials</t>
  </si>
  <si>
    <t>Month Name</t>
  </si>
  <si>
    <t>April</t>
  </si>
  <si>
    <t>August</t>
  </si>
  <si>
    <t>December</t>
  </si>
  <si>
    <t>February</t>
  </si>
  <si>
    <t>January</t>
  </si>
  <si>
    <t>July</t>
  </si>
  <si>
    <t>June</t>
  </si>
  <si>
    <t>March</t>
  </si>
  <si>
    <t>May</t>
  </si>
  <si>
    <t>November</t>
  </si>
  <si>
    <t>October</t>
  </si>
  <si>
    <t>September</t>
  </si>
  <si>
    <t>Month Number</t>
  </si>
  <si>
    <t>Dashboard Data – calculations feeding the Dashboard sheet (all linked to Sheet2)</t>
  </si>
  <si>
    <t>Month</t>
  </si>
  <si>
    <t>Quarter</t>
  </si>
  <si>
    <t>Spend ($)</t>
  </si>
  <si>
    <t>% of Annual</t>
  </si>
  <si>
    <t>MoM Change</t>
  </si>
  <si>
    <t>vs Avg</t>
  </si>
  <si>
    <t>Cumulative %</t>
  </si>
  <si>
    <t>Monthly Avg</t>
  </si>
  <si>
    <t>Total</t>
  </si>
  <si>
    <t>Share</t>
  </si>
  <si>
    <t>Q1</t>
  </si>
  <si>
    <t>Q2</t>
  </si>
  <si>
    <t>Q3</t>
  </si>
  <si>
    <t>Q4</t>
  </si>
  <si>
    <t>Rank</t>
  </si>
  <si>
    <t>Department</t>
  </si>
  <si>
    <t>Spend &amp; Cost Analysis Dashboard</t>
  </si>
  <si>
    <t>TOTAL SPEND</t>
  </si>
  <si>
    <t>TOTAL ORDERS</t>
  </si>
  <si>
    <t>TOTAL ORDER QTY</t>
  </si>
  <si>
    <t>AVG SPEND / ORDER</t>
  </si>
  <si>
    <t>AVG SPEND / UNIT</t>
  </si>
  <si>
    <t>AVG MONTHLY SPEND</t>
  </si>
  <si>
    <t>Spend Trend &amp; Seasonality</t>
  </si>
  <si>
    <t>Category &amp; Department Mix</t>
  </si>
  <si>
    <t>Risk Indicator</t>
  </si>
  <si>
    <t>Value</t>
  </si>
  <si>
    <t>Medium ≥</t>
  </si>
  <si>
    <t>High ≥</t>
  </si>
  <si>
    <t>Risk Level</t>
  </si>
  <si>
    <t>Top-3 category share</t>
  </si>
  <si>
    <t>Category concentration (HHI)</t>
  </si>
  <si>
    <t>Department concentration (HHI)</t>
  </si>
  <si>
    <t>Monthly volatility (coeff. of variation)</t>
  </si>
  <si>
    <t>Top-3 months share of annual spend</t>
  </si>
  <si>
    <t>Key Metric</t>
  </si>
  <si>
    <t>Peak month</t>
  </si>
  <si>
    <t>Lowest month</t>
  </si>
  <si>
    <t>H1 share of spend (Jan–Jun)</t>
  </si>
  <si>
    <t>H2 share of spend (Jul–Dec)</t>
  </si>
  <si>
    <t>Q1 share of spend</t>
  </si>
  <si>
    <t>Operations share (Supply Chain + Production)</t>
  </si>
  <si>
    <t>Tail spend (categories &lt; 1% each)</t>
  </si>
  <si>
    <t>Full-year procurement spend by category, department and month</t>
  </si>
  <si>
    <t>HHI above 2,500 = highly concentrated. CV above 1 = irregular spend.</t>
  </si>
  <si>
    <t>Full year</t>
  </si>
  <si>
    <t>Key Insights &amp; Actions</t>
  </si>
  <si>
    <t>Chart feeds – contiguous ranges used as chart source data</t>
  </si>
  <si>
    <t>Monthly spend</t>
  </si>
  <si>
    <t>Monthly average</t>
  </si>
  <si>
    <t>Share of spend</t>
  </si>
  <si>
    <t>Detail Tables, Risk Indicators &amp; Key Metrics</t>
  </si>
  <si>
    <t>Supporting detail behind the Dashboard charts. All figures link to 'Dashboard Data', which links to the Sheet2 pivot tables.</t>
  </si>
  <si>
    <t>Monthly Spend Detail</t>
  </si>
  <si>
    <t>Spend by Category</t>
  </si>
  <si>
    <t>Spend by Department</t>
  </si>
  <si>
    <t>Concentration &amp; Risk Indicators</t>
  </si>
  <si>
    <t>Key Metrics</t>
  </si>
  <si>
    <t>Category Concentration</t>
  </si>
  <si>
    <t>Detail tables, concentration/risk indicators and key metrics are on the Details sheet; chart source data is on Dashboard Data (linked to the Sheet2 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</si>
</sst>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0;\(&quot;$&quot;#,##0\);&quot;-&quot;"/>
    <numFmt numFmtId="165" formatCode="0.0%;\(0.0%\);&quot;-&quot;"/>
    <numFmt numFmtId="166" formatCode="&quot;$&quot;#,##0.00,,&quot;M&quot;"/>
    <numFmt numFmtId="167" formatCode="&quot;$&quot;#,##0.0,&quot;K&quot;"/>
    <numFmt numFmtId="168" formatCode="0.0%"/>
    <numFmt numFmtId="169" formatCode="&quot;$&quot;#,##0;\(&quot;$&quot;#,##0\);&quot;–&quot;"/>
    <numFmt numFmtId="170" formatCode="0.0%;\(0.0%\);&quot;–&quot;"/>
  </numFmts>
  <fonts count="32" x14ac:knownFonts="1">
    <font>
      <sz val="11"/>
      <color theme="1"/>
      <name val="Aptos Narrow"/>
      <family val="2"/>
      <scheme val="minor"/>
    </font>
    <font>
      <b/>
      <sz val="11"/>
      <color theme="1"/>
      <name val="Aptos Narrow"/>
      <family val="2"/>
      <scheme val="minor"/>
    </font>
    <font>
      <b/>
      <sz val="12"/>
      <color theme="1"/>
      <name val="Aptos Narrow"/>
      <family val="2"/>
      <scheme val="minor"/>
    </font>
    <font>
      <b/>
      <sz val="11"/>
      <color rgb="FFFFFFFF"/>
      <name val="Aptos Narrow"/>
      <family val="2"/>
      <scheme val="minor"/>
    </font>
    <font>
      <sz val="11"/>
      <color rgb="FF008000"/>
      <name val="Aptos Narrow"/>
      <family val="2"/>
      <scheme val="minor"/>
    </font>
    <font>
      <b/>
      <sz val="9"/>
      <color rgb="FFFFFFFF"/>
      <name val="Segoe UI"/>
    </font>
    <font>
      <b/>
      <sz val="9"/>
      <color rgb="FF6B7385"/>
      <name val="Segoe UI"/>
    </font>
    <font>
      <sz val="9"/>
      <color rgb="FF6B7385"/>
      <name val="Segoe UI"/>
    </font>
    <font>
      <sz val="9"/>
      <color rgb="FF1D2433"/>
      <name val="Segoe UI"/>
    </font>
    <font>
      <sz val="9"/>
      <color rgb="FFC9CEE0"/>
      <name val="Segoe UI"/>
    </font>
    <font>
      <b/>
      <sz val="9"/>
      <color theme="1"/>
      <name val="Segoe UI"/>
    </font>
    <font>
      <b/>
      <sz val="9"/>
      <color rgb="FF141B34"/>
      <name val="Segoe UI"/>
    </font>
    <font>
      <sz val="9"/>
      <color theme="1"/>
      <name val="Segoe UI"/>
    </font>
    <font>
      <b/>
      <sz val="15"/>
      <color rgb="FFFFFFFF"/>
      <name val="Segoe UI"/>
    </font>
    <font>
      <sz val="8"/>
      <color rgb="FFC9CEE0"/>
      <name val="Segoe UI"/>
    </font>
    <font>
      <b/>
      <sz val="7.5"/>
      <color rgb="FF6B7385"/>
      <name val="Segoe UI"/>
    </font>
    <font>
      <b/>
      <sz val="16"/>
      <color theme="1"/>
      <name val="Segoe UI"/>
    </font>
    <font>
      <sz val="7.5"/>
      <color rgb="FF6B7385"/>
      <name val="Segoe UI"/>
    </font>
    <font>
      <b/>
      <sz val="10.5"/>
      <color rgb="FF141B34"/>
      <name val="Segoe UI"/>
    </font>
    <font>
      <sz val="8"/>
      <color rgb="FF1D2433"/>
      <name val="Segoe UI"/>
    </font>
    <font>
      <sz val="8.5"/>
      <color theme="1"/>
      <name val="Segoe UI"/>
    </font>
    <font>
      <b/>
      <sz val="11"/>
      <color rgb="FF1F3864"/>
      <name val="Aptos Narrow"/>
      <family val="2"/>
      <scheme val="minor"/>
    </font>
    <font>
      <b/>
      <sz val="16"/>
      <color rgb="FF1F3864"/>
      <name val="Aptos Narrow"/>
      <family val="2"/>
      <scheme val="minor"/>
    </font>
    <font>
      <i/>
      <sz val="10"/>
      <color rgb="FF595959"/>
      <name val="Aptos Narrow"/>
      <family val="2"/>
      <scheme val="minor"/>
    </font>
    <font>
      <b/>
      <sz val="12"/>
      <color rgb="FF1F3864"/>
      <name val="Aptos Narrow"/>
      <family val="2"/>
      <scheme val="minor"/>
    </font>
    <font>
      <b/>
      <sz val="12"/>
      <color rgb="FF1F3864"/>
      <name val="Calibri"/>
    </font>
    <font>
      <sz val="11"/>
      <color theme="1"/>
      <name val="Calibri"/>
    </font>
    <font>
      <b/>
      <sz val="11"/>
      <color rgb="FFFFFFFF"/>
      <name val="Calibri"/>
    </font>
    <font>
      <b/>
      <sz val="11"/>
      <color theme="1"/>
      <name val="Calibri"/>
    </font>
    <font>
      <i/>
      <sz val="9"/>
      <color rgb="FF595959"/>
      <name val="Calibri"/>
    </font>
    <font>
      <b/>
      <sz val="11"/>
      <color rgb="FF9C0006"/>
      <name val="Calibri"/>
    </font>
    <font>
      <i/>
      <sz val="9"/>
      <color rgb="FF808080"/>
      <name val="Aptos Narrow"/>
      <family val="2"/>
      <scheme val="minor"/>
    </font>
  </fonts>
  <fills count="9">
    <fill>
      <patternFill patternType="none"/>
    </fill>
    <fill>
      <patternFill patternType="gray125"/>
    </fill>
    <fill>
      <patternFill patternType="solid">
        <fgColor rgb="FF141B34"/>
        <bgColor indexed="64"/>
      </patternFill>
    </fill>
    <fill>
      <patternFill patternType="solid">
        <fgColor rgb="FFF4F6FB"/>
        <bgColor indexed="64"/>
      </patternFill>
    </fill>
    <fill>
      <patternFill patternType="solid">
        <fgColor rgb="FF26305A"/>
        <bgColor indexed="64"/>
      </patternFill>
    </fill>
    <fill>
      <patternFill patternType="solid">
        <fgColor rgb="FFFFFFFF"/>
        <bgColor indexed="64"/>
      </patternFill>
    </fill>
    <fill>
      <patternFill patternType="solid">
        <fgColor rgb="FF1F3864"/>
        <bgColor indexed="64"/>
      </patternFill>
    </fill>
    <fill>
      <patternFill patternType="solid">
        <fgColor rgb="FFDCE3F0"/>
        <bgColor indexed="64"/>
      </patternFill>
    </fill>
    <fill>
      <patternFill patternType="solid">
        <fgColor rgb="FFFFC7CE"/>
        <bgColor indexed="64"/>
      </patternFill>
    </fill>
  </fills>
  <borders count="35">
    <border>
      <left/>
      <right/>
      <top/>
      <bottom/>
      <diagonal/>
    </border>
    <border>
      <left/>
      <right/>
      <top style="thin">
        <color auto="1"/>
      </top>
      <bottom/>
      <diagonal/>
    </border>
    <border>
      <left/>
      <right/>
      <top style="thick">
        <color rgb="FF4C72B0"/>
      </top>
      <bottom/>
      <diagonal/>
    </border>
    <border>
      <left style="thick">
        <color rgb="FFF4F6FB"/>
      </left>
      <right/>
      <top style="thick">
        <color rgb="FF4C72B0"/>
      </top>
      <bottom/>
      <diagonal/>
    </border>
    <border>
      <left style="thick">
        <color rgb="FFF4F6FB"/>
      </left>
      <right/>
      <top/>
      <bottom/>
      <diagonal/>
    </border>
    <border>
      <left/>
      <right style="thick">
        <color rgb="FFF4F6FB"/>
      </right>
      <top/>
      <bottom/>
      <diagonal/>
    </border>
    <border>
      <left style="thick">
        <color rgb="FFF4F6FB"/>
      </left>
      <right/>
      <top style="thick">
        <color rgb="FFDD8452"/>
      </top>
      <bottom/>
      <diagonal/>
    </border>
    <border>
      <left/>
      <right/>
      <top style="thick">
        <color rgb="FFDD8452"/>
      </top>
      <bottom/>
      <diagonal/>
    </border>
    <border>
      <left style="thick">
        <color rgb="FFF4F6FB"/>
      </left>
      <right/>
      <top style="thick">
        <color rgb="FF55A868"/>
      </top>
      <bottom/>
      <diagonal/>
    </border>
    <border>
      <left/>
      <right/>
      <top style="thick">
        <color rgb="FF55A868"/>
      </top>
      <bottom/>
      <diagonal/>
    </border>
    <border>
      <left style="thick">
        <color rgb="FFF4F6FB"/>
      </left>
      <right/>
      <top style="thick">
        <color rgb="FF8172B3"/>
      </top>
      <bottom/>
      <diagonal/>
    </border>
    <border>
      <left/>
      <right/>
      <top style="thick">
        <color rgb="FF8172B3"/>
      </top>
      <bottom/>
      <diagonal/>
    </border>
    <border>
      <left style="thick">
        <color rgb="FFF4F6FB"/>
      </left>
      <right/>
      <top style="thick">
        <color rgb="FFC44E52"/>
      </top>
      <bottom/>
      <diagonal/>
    </border>
    <border>
      <left/>
      <right/>
      <top style="thick">
        <color rgb="FFC44E52"/>
      </top>
      <bottom/>
      <diagonal/>
    </border>
    <border>
      <left style="thick">
        <color rgb="FFF4F6FB"/>
      </left>
      <right/>
      <top style="thick">
        <color rgb="FF937860"/>
      </top>
      <bottom/>
      <diagonal/>
    </border>
    <border>
      <left/>
      <right/>
      <top style="thick">
        <color rgb="FF937860"/>
      </top>
      <bottom/>
      <diagonal/>
    </border>
    <border>
      <left/>
      <right style="thick">
        <color rgb="FFF4F6FB"/>
      </right>
      <top style="thick">
        <color rgb="FF937860"/>
      </top>
      <bottom/>
      <diagonal/>
    </border>
    <border>
      <left/>
      <right/>
      <top/>
      <bottom style="medium">
        <color rgb="FF4C72B0"/>
      </bottom>
      <diagonal/>
    </border>
    <border>
      <left/>
      <right/>
      <top style="medium">
        <color rgb="FF4C72B0"/>
      </top>
      <bottom/>
      <diagonal/>
    </border>
    <border>
      <left style="thick">
        <color rgb="FFD64545"/>
      </left>
      <right/>
      <top style="medium">
        <color rgb="FF4C72B0"/>
      </top>
      <bottom/>
      <diagonal/>
    </border>
    <border>
      <left/>
      <right/>
      <top style="medium">
        <color rgb="FFF4F6FB"/>
      </top>
      <bottom/>
      <diagonal/>
    </border>
    <border>
      <left style="thick">
        <color rgb="FFE0A100"/>
      </left>
      <right/>
      <top style="medium">
        <color rgb="FFF4F6FB"/>
      </top>
      <bottom/>
      <diagonal/>
    </border>
    <border>
      <left/>
      <right/>
      <top style="medium">
        <color rgb="FFF4F6FB"/>
      </top>
      <bottom style="medium">
        <color rgb="FFF4F6FB"/>
      </bottom>
      <diagonal/>
    </border>
    <border>
      <left style="thick">
        <color rgb="FFD64545"/>
      </left>
      <right/>
      <top style="medium">
        <color rgb="FFF4F6FB"/>
      </top>
      <bottom/>
      <diagonal/>
    </border>
    <border>
      <left style="thick">
        <color rgb="FF1F9D55"/>
      </left>
      <right/>
      <top style="medium">
        <color rgb="FFF4F6FB"/>
      </top>
      <bottom/>
      <diagonal/>
    </border>
    <border>
      <left style="thick">
        <color rgb="FF1F9D55"/>
      </left>
      <right/>
      <top style="medium">
        <color rgb="FFF4F6FB"/>
      </top>
      <bottom style="medium">
        <color rgb="FFF4F6FB"/>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1F3864"/>
      </bottom>
      <diagonal/>
    </border>
    <border>
      <left style="thin">
        <color rgb="FFD9D9D9"/>
      </left>
      <right style="thin">
        <color rgb="FFD9D9D9"/>
      </right>
      <top style="thin">
        <color rgb="FFD9D9D9"/>
      </top>
      <bottom style="thin">
        <color rgb="FF1F3864"/>
      </bottom>
      <diagonal/>
    </border>
    <border>
      <left style="thin">
        <color rgb="FFD9D9D9"/>
      </left>
      <right/>
      <top style="thin">
        <color rgb="FFD9D9D9"/>
      </top>
      <bottom style="thin">
        <color rgb="FF1F3864"/>
      </bottom>
      <diagonal/>
    </border>
  </borders>
  <cellStyleXfs count="1">
    <xf numFmtId="0" fontId="0" fillId="0" borderId="0"/>
  </cellStyleXfs>
  <cellXfs count="101">
    <xf numFmtId="0" fontId="0" fillId="0" borderId="0" xfId="0"/>
    <xf numFmtId="0" fontId="0" fillId="0" borderId="0" xfId="0" applyNumberFormat="1"/>
    <xf numFmtId="0" fontId="0" fillId="0" borderId="0" xfId="0" pivotButton="1"/>
    <xf numFmtId="10" fontId="0" fillId="0" borderId="0" xfId="0" applyNumberFormat="1"/>
    <xf numFmtId="0" fontId="2" fillId="0" borderId="0" xfId="0" applyFont="1"/>
    <xf numFmtId="0" fontId="3" fillId="2" borderId="0" xfId="0" applyFont="1" applyFill="1"/>
    <xf numFmtId="0" fontId="1" fillId="0" borderId="1" xfId="0" applyFont="1" applyBorder="1"/>
    <xf numFmtId="164" fontId="0" fillId="0" borderId="0" xfId="0" applyNumberFormat="1"/>
    <xf numFmtId="164" fontId="1" fillId="0" borderId="1" xfId="0" applyNumberFormat="1" applyFont="1" applyBorder="1"/>
    <xf numFmtId="165" fontId="0" fillId="0" borderId="0" xfId="0" applyNumberFormat="1"/>
    <xf numFmtId="165" fontId="1" fillId="0" borderId="1" xfId="0" applyNumberFormat="1" applyFont="1" applyBorder="1"/>
    <xf numFmtId="0" fontId="4" fillId="0" borderId="0" xfId="0" applyFont="1"/>
    <xf numFmtId="164" fontId="4" fillId="0" borderId="0" xfId="0" applyNumberFormat="1" applyFont="1"/>
    <xf numFmtId="0" fontId="8" fillId="3" borderId="0" xfId="0" applyFont="1" applyFill="1"/>
    <xf numFmtId="0" fontId="11" fillId="0" borderId="17" xfId="0" applyFont="1" applyBorder="1" applyAlignment="1"/>
    <xf numFmtId="0" fontId="18" fillId="0" borderId="17" xfId="0" applyFont="1" applyBorder="1" applyAlignment="1"/>
    <xf numFmtId="0" fontId="19" fillId="3" borderId="0" xfId="0" applyFont="1" applyFill="1"/>
    <xf numFmtId="0" fontId="21" fillId="0" borderId="0" xfId="0" applyFont="1"/>
    <xf numFmtId="0" fontId="1" fillId="0" borderId="0" xfId="0" applyFont="1"/>
    <xf numFmtId="0" fontId="22" fillId="0" borderId="0" xfId="0" applyFont="1"/>
    <xf numFmtId="0" fontId="23" fillId="0" borderId="0" xfId="0" applyFont="1"/>
    <xf numFmtId="0" fontId="24" fillId="0" borderId="0" xfId="0" applyFont="1"/>
    <xf numFmtId="0" fontId="3" fillId="6" borderId="26" xfId="0" applyFont="1" applyFill="1" applyBorder="1" applyAlignment="1">
      <alignment horizontal="center" vertical="center"/>
    </xf>
    <xf numFmtId="0" fontId="3" fillId="6" borderId="28" xfId="0" applyFont="1" applyFill="1" applyBorder="1" applyAlignment="1">
      <alignment horizontal="center" vertical="center"/>
    </xf>
    <xf numFmtId="0" fontId="0" fillId="0" borderId="29" xfId="0" applyBorder="1"/>
    <xf numFmtId="0" fontId="0" fillId="0" borderId="32" xfId="0" applyBorder="1"/>
    <xf numFmtId="168" fontId="0" fillId="0" borderId="31" xfId="0" applyNumberFormat="1" applyBorder="1" applyAlignment="1">
      <alignment horizontal="right"/>
    </xf>
    <xf numFmtId="168" fontId="0" fillId="0" borderId="34" xfId="0" applyNumberFormat="1" applyBorder="1" applyAlignment="1">
      <alignment horizontal="right"/>
    </xf>
    <xf numFmtId="0" fontId="25" fillId="0" borderId="0" xfId="0" applyFont="1"/>
    <xf numFmtId="0" fontId="26" fillId="0" borderId="0" xfId="0" applyFont="1"/>
    <xf numFmtId="0" fontId="27" fillId="6" borderId="26" xfId="0" applyFont="1" applyFill="1" applyBorder="1" applyAlignment="1">
      <alignment horizontal="center" vertical="center"/>
    </xf>
    <xf numFmtId="0" fontId="27" fillId="6" borderId="27" xfId="0" applyFont="1" applyFill="1" applyBorder="1" applyAlignment="1">
      <alignment horizontal="center" vertical="center"/>
    </xf>
    <xf numFmtId="0" fontId="27" fillId="6" borderId="28" xfId="0" applyFont="1" applyFill="1" applyBorder="1" applyAlignment="1">
      <alignment horizontal="center" vertical="center"/>
    </xf>
    <xf numFmtId="0" fontId="26" fillId="0" borderId="29" xfId="0" applyFont="1" applyBorder="1"/>
    <xf numFmtId="0" fontId="26" fillId="0" borderId="30" xfId="0" applyFont="1" applyBorder="1"/>
    <xf numFmtId="169" fontId="26" fillId="0" borderId="30" xfId="0" applyNumberFormat="1" applyFont="1" applyBorder="1"/>
    <xf numFmtId="170" fontId="26" fillId="0" borderId="30" xfId="0" applyNumberFormat="1" applyFont="1" applyBorder="1"/>
    <xf numFmtId="170" fontId="26" fillId="0" borderId="31" xfId="0" applyNumberFormat="1" applyFont="1" applyBorder="1"/>
    <xf numFmtId="0" fontId="26" fillId="0" borderId="29" xfId="0" applyFont="1" applyBorder="1" applyAlignment="1">
      <alignment horizontal="center"/>
    </xf>
    <xf numFmtId="0" fontId="28" fillId="7" borderId="32" xfId="0" applyFont="1" applyFill="1" applyBorder="1" applyAlignment="1">
      <alignment horizontal="center"/>
    </xf>
    <xf numFmtId="0" fontId="28" fillId="7" borderId="33" xfId="0" applyFont="1" applyFill="1" applyBorder="1"/>
    <xf numFmtId="169" fontId="28" fillId="7" borderId="33" xfId="0" applyNumberFormat="1" applyFont="1" applyFill="1" applyBorder="1"/>
    <xf numFmtId="170" fontId="28" fillId="7" borderId="34" xfId="0" applyNumberFormat="1" applyFont="1" applyFill="1" applyBorder="1"/>
    <xf numFmtId="170" fontId="28" fillId="7" borderId="33" xfId="0" applyNumberFormat="1" applyFont="1" applyFill="1" applyBorder="1"/>
    <xf numFmtId="0" fontId="28" fillId="7" borderId="32" xfId="0" applyFont="1" applyFill="1" applyBorder="1"/>
    <xf numFmtId="0" fontId="28" fillId="7" borderId="34" xfId="0" applyFont="1" applyFill="1" applyBorder="1"/>
    <xf numFmtId="168" fontId="26" fillId="0" borderId="30" xfId="0" applyNumberFormat="1" applyFont="1" applyBorder="1" applyAlignment="1">
      <alignment horizontal="center"/>
    </xf>
    <xf numFmtId="3" fontId="26" fillId="0" borderId="30" xfId="0" applyNumberFormat="1" applyFont="1" applyBorder="1" applyAlignment="1">
      <alignment horizontal="center"/>
    </xf>
    <xf numFmtId="2" fontId="26" fillId="0" borderId="30" xfId="0" applyNumberFormat="1" applyFont="1" applyBorder="1" applyAlignment="1">
      <alignment horizontal="center"/>
    </xf>
    <xf numFmtId="0" fontId="26" fillId="0" borderId="32" xfId="0" applyFont="1" applyBorder="1"/>
    <xf numFmtId="168" fontId="26" fillId="0" borderId="33" xfId="0" applyNumberFormat="1" applyFont="1" applyBorder="1" applyAlignment="1">
      <alignment horizontal="center"/>
    </xf>
    <xf numFmtId="0" fontId="29" fillId="0" borderId="0" xfId="0" applyFont="1"/>
    <xf numFmtId="0" fontId="30" fillId="8" borderId="31" xfId="0" applyFont="1" applyFill="1" applyBorder="1" applyAlignment="1">
      <alignment horizontal="center"/>
    </xf>
    <xf numFmtId="0" fontId="30" fillId="8" borderId="34" xfId="0" applyFont="1" applyFill="1" applyBorder="1" applyAlignment="1">
      <alignment horizontal="center"/>
    </xf>
    <xf numFmtId="0" fontId="31" fillId="0" borderId="0" xfId="0" applyFont="1"/>
    <xf numFmtId="0" fontId="0" fillId="0" borderId="31" xfId="0" applyNumberFormat="1" applyBorder="1" applyAlignment="1">
      <alignment horizontal="right"/>
    </xf>
    <xf numFmtId="0" fontId="13" fillId="2" borderId="0" xfId="0" applyFont="1" applyFill="1" applyAlignment="1">
      <alignment vertical="center" indent="1"/>
    </xf>
    <xf numFmtId="0" fontId="5" fillId="2" borderId="0" xfId="0" applyFont="1" applyFill="1" applyAlignment="1">
      <alignment vertical="center" indent="1"/>
    </xf>
    <xf numFmtId="0" fontId="14" fillId="4" borderId="0" xfId="0" applyFont="1" applyFill="1" applyAlignment="1">
      <alignment vertical="center" indent="1"/>
    </xf>
    <xf numFmtId="0" fontId="9" fillId="4" borderId="0" xfId="0" applyFont="1" applyFill="1" applyAlignment="1">
      <alignment vertical="center" indent="1"/>
    </xf>
    <xf numFmtId="0" fontId="15" fillId="0" borderId="3" xfId="0" applyFont="1" applyBorder="1" applyAlignment="1">
      <alignment horizontal="left" vertical="center" indent="1"/>
    </xf>
    <xf numFmtId="0" fontId="6" fillId="0" borderId="2" xfId="0" applyFont="1" applyBorder="1" applyAlignment="1">
      <alignment horizontal="left" vertical="center" indent="1"/>
    </xf>
    <xf numFmtId="166" fontId="16" fillId="0" borderId="4" xfId="0" applyNumberFormat="1" applyFont="1" applyBorder="1" applyAlignment="1">
      <alignment horizontal="left" vertical="center" indent="1"/>
    </xf>
    <xf numFmtId="166" fontId="10" fillId="0" borderId="0" xfId="0" applyNumberFormat="1" applyFont="1" applyBorder="1" applyAlignment="1">
      <alignment horizontal="left" vertical="center" indent="1"/>
    </xf>
    <xf numFmtId="0" fontId="17" fillId="0" borderId="4" xfId="0" applyFont="1" applyBorder="1" applyAlignment="1">
      <alignment horizontal="left" vertical="center" indent="1"/>
    </xf>
    <xf numFmtId="0" fontId="7" fillId="0" borderId="0" xfId="0" applyFont="1" applyBorder="1" applyAlignment="1">
      <alignment horizontal="left" vertical="center" indent="1"/>
    </xf>
    <xf numFmtId="0" fontId="15" fillId="0" borderId="6" xfId="0" applyFont="1" applyBorder="1" applyAlignment="1">
      <alignment horizontal="left" vertical="center" indent="1"/>
    </xf>
    <xf numFmtId="0" fontId="6" fillId="0" borderId="7" xfId="0" applyFont="1" applyBorder="1" applyAlignment="1">
      <alignment horizontal="left" vertical="center" indent="1"/>
    </xf>
    <xf numFmtId="3" fontId="16" fillId="0" borderId="4" xfId="0" applyNumberFormat="1" applyFont="1" applyBorder="1" applyAlignment="1">
      <alignment horizontal="left" vertical="center" indent="1"/>
    </xf>
    <xf numFmtId="3" fontId="10" fillId="0" borderId="0" xfId="0" applyNumberFormat="1" applyFont="1" applyBorder="1" applyAlignment="1">
      <alignment horizontal="left" vertical="center" indent="1"/>
    </xf>
    <xf numFmtId="0" fontId="15" fillId="0" borderId="8" xfId="0" applyFont="1" applyBorder="1" applyAlignment="1">
      <alignment horizontal="left" vertical="center" indent="1"/>
    </xf>
    <xf numFmtId="0" fontId="6" fillId="0" borderId="9" xfId="0" applyFont="1" applyBorder="1" applyAlignment="1">
      <alignment horizontal="left" vertical="center" indent="1"/>
    </xf>
    <xf numFmtId="0" fontId="15" fillId="0" borderId="10" xfId="0" applyFont="1" applyBorder="1" applyAlignment="1">
      <alignment horizontal="left" vertical="center" indent="1"/>
    </xf>
    <xf numFmtId="0" fontId="6" fillId="0" borderId="11" xfId="0" applyFont="1" applyBorder="1" applyAlignment="1">
      <alignment horizontal="left" vertical="center" indent="1"/>
    </xf>
    <xf numFmtId="167" fontId="16" fillId="0" borderId="4" xfId="0" applyNumberFormat="1" applyFont="1" applyBorder="1" applyAlignment="1">
      <alignment horizontal="left" vertical="center" indent="1"/>
    </xf>
    <xf numFmtId="167" fontId="10" fillId="0" borderId="0" xfId="0" applyNumberFormat="1" applyFont="1" applyBorder="1" applyAlignment="1">
      <alignment horizontal="left" vertical="center" indent="1"/>
    </xf>
    <xf numFmtId="0" fontId="15" fillId="0" borderId="12" xfId="0" applyFont="1" applyBorder="1" applyAlignment="1">
      <alignment horizontal="left" vertical="center" indent="1"/>
    </xf>
    <xf numFmtId="0" fontId="6" fillId="0" borderId="13" xfId="0" applyFont="1" applyBorder="1" applyAlignment="1">
      <alignment horizontal="left" vertical="center" indent="1"/>
    </xf>
    <xf numFmtId="0" fontId="15" fillId="0" borderId="14" xfId="0" applyFont="1" applyBorder="1" applyAlignment="1">
      <alignment horizontal="left" vertical="center" indent="1"/>
    </xf>
    <xf numFmtId="0" fontId="6" fillId="0" borderId="15" xfId="0" applyFont="1" applyBorder="1" applyAlignment="1">
      <alignment horizontal="left" vertical="center" indent="1"/>
    </xf>
    <xf numFmtId="0" fontId="6" fillId="0" borderId="16" xfId="0" applyFont="1" applyBorder="1" applyAlignment="1">
      <alignment horizontal="left" vertical="center" indent="1"/>
    </xf>
    <xf numFmtId="166" fontId="10" fillId="0" borderId="5" xfId="0" applyNumberFormat="1" applyFont="1" applyBorder="1" applyAlignment="1">
      <alignment horizontal="left" vertical="center" indent="1"/>
    </xf>
    <xf numFmtId="0" fontId="7" fillId="0" borderId="5" xfId="0" applyFont="1" applyBorder="1" applyAlignment="1">
      <alignment horizontal="left" vertical="center" indent="1"/>
    </xf>
    <xf numFmtId="0" fontId="18" fillId="0" borderId="17" xfId="0" applyFont="1" applyBorder="1" applyAlignment="1"/>
    <xf numFmtId="0" fontId="11" fillId="0" borderId="17" xfId="0" applyFont="1" applyBorder="1" applyAlignment="1"/>
    <xf numFmtId="0" fontId="10" fillId="5" borderId="19" xfId="0" applyFont="1" applyFill="1" applyBorder="1" applyAlignment="1">
      <alignment vertical="center" indent="1"/>
    </xf>
    <xf numFmtId="0" fontId="10" fillId="5" borderId="18" xfId="0" applyFont="1" applyFill="1" applyBorder="1" applyAlignment="1">
      <alignment vertical="center" indent="1"/>
    </xf>
    <xf numFmtId="0" fontId="20" fillId="5" borderId="18" xfId="0" applyFont="1" applyFill="1" applyBorder="1" applyAlignment="1">
      <alignment vertical="center" wrapText="1"/>
    </xf>
    <xf numFmtId="0" fontId="12" fillId="5" borderId="18" xfId="0" applyFont="1" applyFill="1" applyBorder="1" applyAlignment="1">
      <alignment vertical="center" wrapText="1"/>
    </xf>
    <xf numFmtId="0" fontId="18" fillId="0" borderId="0" xfId="0" applyFont="1" applyBorder="1" applyAlignment="1"/>
    <xf numFmtId="0" fontId="11" fillId="0" borderId="0" xfId="0" applyFont="1" applyBorder="1" applyAlignment="1"/>
    <xf numFmtId="0" fontId="10" fillId="5" borderId="21" xfId="0" applyFont="1" applyFill="1" applyBorder="1" applyAlignment="1">
      <alignment vertical="center" indent="1"/>
    </xf>
    <xf numFmtId="0" fontId="10" fillId="5" borderId="20" xfId="0" applyFont="1" applyFill="1" applyBorder="1" applyAlignment="1">
      <alignment vertical="center" indent="1"/>
    </xf>
    <xf numFmtId="0" fontId="20" fillId="5" borderId="20" xfId="0" applyFont="1" applyFill="1" applyBorder="1" applyAlignment="1">
      <alignment vertical="center" wrapText="1"/>
    </xf>
    <xf numFmtId="0" fontId="12" fillId="5" borderId="20" xfId="0" applyFont="1" applyFill="1" applyBorder="1" applyAlignment="1">
      <alignment vertical="center" wrapText="1"/>
    </xf>
    <xf numFmtId="0" fontId="10" fillId="5" borderId="23" xfId="0" applyFont="1" applyFill="1" applyBorder="1" applyAlignment="1">
      <alignment vertical="center" indent="1"/>
    </xf>
    <xf numFmtId="0" fontId="10" fillId="5" borderId="25" xfId="0" applyFont="1" applyFill="1" applyBorder="1" applyAlignment="1">
      <alignment vertical="center" indent="1"/>
    </xf>
    <xf numFmtId="0" fontId="10" fillId="5" borderId="22" xfId="0" applyFont="1" applyFill="1" applyBorder="1" applyAlignment="1">
      <alignment vertical="center" indent="1"/>
    </xf>
    <xf numFmtId="0" fontId="20" fillId="5" borderId="22" xfId="0" applyFont="1" applyFill="1" applyBorder="1" applyAlignment="1">
      <alignment vertical="center" wrapText="1"/>
    </xf>
    <xf numFmtId="0" fontId="12" fillId="5" borderId="22" xfId="0" applyFont="1" applyFill="1" applyBorder="1" applyAlignment="1">
      <alignment vertical="center" wrapText="1"/>
    </xf>
    <xf numFmtId="0" fontId="10" fillId="5" borderId="24" xfId="0" applyFont="1" applyFill="1" applyBorder="1" applyAlignment="1">
      <alignmen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openxmlformats.org/officeDocument/2006/relationships/sheetMetadata" Target="metadata.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microsoft.com/office/2007/relationships/slicerCache" Target="slicerCaches/slicerCache1.xml"/><Relationship Id="rId19" Type="http://schemas.openxmlformats.org/officeDocument/2006/relationships/powerPivotData" Target="model/item.data"/><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3.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0" Type="http://schemas.openxmlformats.org/officeDocument/2006/relationships/calcChain" Target="calcChain.xml"/><Relationship Id="rId41"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404040"/>
                </a:solidFill>
                <a:latin typeface="Calibri"/>
                <a:ea typeface="Calibri"/>
                <a:cs typeface="Calibri"/>
              </a:defRPr>
            </a:pPr>
            <a:r>
              <a:rPr lang="en-US"/>
              <a:t>Monthly Spend vs Annual Average</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404040"/>
              </a:solidFill>
              <a:latin typeface="Calibri"/>
              <a:ea typeface="Calibri"/>
              <a:cs typeface="Calibri"/>
            </a:defRPr>
          </a:pPr>
          <a:endParaRPr lang="en-US"/>
        </a:p>
      </c:txPr>
    </c:title>
    <c:autoTitleDeleted val="0"/>
    <c:plotArea>
      <c:layout/>
      <c:barChart>
        <c:barDir val="col"/>
        <c:grouping val="clustered"/>
        <c:varyColors val="0"/>
        <c:ser>
          <c:idx val="0"/>
          <c:order val="0"/>
          <c:tx>
            <c:strRef>
              <c:f>'Dashboard Data'!$B$21</c:f>
              <c:strCache>
                <c:ptCount val="1"/>
                <c:pt idx="0">
                  <c:v>Monthly spend</c:v>
                </c:pt>
              </c:strCache>
            </c:strRef>
          </c:tx>
          <c:spPr>
            <a:solidFill>
              <a:srgbClr val="2E75B6"/>
            </a:solidFill>
            <a:ln>
              <a:noFill/>
            </a:ln>
            <a:effectLst/>
          </c:spPr>
          <c:invertIfNegative val="0"/>
          <c:cat>
            <c:strRef>
              <c:f>'Dashboard Data'!$A$22:$A$33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Data'!$B$22:$B$33</c:f>
              <c:numCache>
                <c:formatCode>General</c:formatCode>
                <c:ptCount val="12"/>
                <c:pt idx="0">
                  <c:v>3480552.5999999996</c:v>
                </c:pt>
                <c:pt idx="1">
                  <c:v>584841.79999999993</c:v>
                </c:pt>
                <c:pt idx="2">
                  <c:v>3764104.45</c:v>
                </c:pt>
                <c:pt idx="3">
                  <c:v>129550.41</c:v>
                </c:pt>
                <c:pt idx="4">
                  <c:v>454227.29999999993</c:v>
                </c:pt>
                <c:pt idx="5">
                  <c:v>158629.15</c:v>
                </c:pt>
                <c:pt idx="6">
                  <c:v>278027.78000000003</c:v>
                </c:pt>
                <c:pt idx="7">
                  <c:v>1265283.8699999999</c:v>
                </c:pt>
                <c:pt idx="8">
                  <c:v>4115.4399999999996</c:v>
                </c:pt>
                <c:pt idx="9">
                  <c:v>10323.74</c:v>
                </c:pt>
                <c:pt idx="10">
                  <c:v>231048.53999999998</c:v>
                </c:pt>
                <c:pt idx="11">
                  <c:v>2253777.5300000003</c:v>
                </c:pt>
              </c:numCache>
            </c:numRef>
          </c:val>
          <c:extLst>
            <c:ext xmlns:c16="http://schemas.microsoft.com/office/drawing/2014/chart" uri="{C3380CC4-5D6E-409C-BE32-E72D297353CC}">
              <c16:uniqueId val="{00000000-46B3-4FBC-BEEF-C7148D4F74D8}"/>
            </c:ext>
          </c:extLst>
        </c:ser>
        <c:dLbls>
          <c:showLegendKey val="0"/>
          <c:showVal val="0"/>
          <c:showCatName val="0"/>
          <c:showSerName val="0"/>
          <c:showPercent val="0"/>
          <c:showBubbleSize val="0"/>
        </c:dLbls>
        <c:gapWidth val="45"/>
        <c:overlap val="-27"/>
        <c:axId val="941162639"/>
        <c:axId val="941165039"/>
      </c:barChart>
      <c:lineChart>
        <c:grouping val="standard"/>
        <c:varyColors val="0"/>
        <c:ser>
          <c:idx val="1"/>
          <c:order val="1"/>
          <c:tx>
            <c:strRef>
              <c:f>'Dashboard Data'!$C$21</c:f>
              <c:strCache>
                <c:ptCount val="1"/>
                <c:pt idx="0">
                  <c:v>Monthly average</c:v>
                </c:pt>
              </c:strCache>
            </c:strRef>
          </c:tx>
          <c:spPr>
            <a:ln w="25400" cap="rnd">
              <a:solidFill>
                <a:srgbClr val="ED7D31"/>
              </a:solidFill>
              <a:prstDash val="solid"/>
              <a:round/>
            </a:ln>
            <a:effectLst/>
          </c:spPr>
          <c:marker>
            <c:symbol val="none"/>
          </c:marker>
          <c:cat>
            <c:strRef>
              <c:f>'Dashboard Data'!$A$22:$A$33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Data'!$C$22:$C$33</c:f>
              <c:numCache>
                <c:formatCode>General</c:formatCode>
                <c:ptCount val="12"/>
                <c:pt idx="0">
                  <c:v>1051206.8841666665</c:v>
                </c:pt>
                <c:pt idx="1">
                  <c:v>1051206.8841666665</c:v>
                </c:pt>
                <c:pt idx="2">
                  <c:v>1051206.8841666665</c:v>
                </c:pt>
                <c:pt idx="3">
                  <c:v>1051206.8841666665</c:v>
                </c:pt>
                <c:pt idx="4">
                  <c:v>1051206.8841666665</c:v>
                </c:pt>
                <c:pt idx="5">
                  <c:v>1051206.8841666665</c:v>
                </c:pt>
                <c:pt idx="6">
                  <c:v>1051206.8841666665</c:v>
                </c:pt>
                <c:pt idx="7">
                  <c:v>1051206.8841666665</c:v>
                </c:pt>
                <c:pt idx="8">
                  <c:v>1051206.8841666665</c:v>
                </c:pt>
                <c:pt idx="9">
                  <c:v>1051206.8841666665</c:v>
                </c:pt>
                <c:pt idx="10">
                  <c:v>1051206.8841666665</c:v>
                </c:pt>
                <c:pt idx="11">
                  <c:v>1051206.8841666665</c:v>
                </c:pt>
              </c:numCache>
            </c:numRef>
          </c:val>
          <c:smooth val="0"/>
          <c:extLst>
            <c:ext xmlns:c16="http://schemas.microsoft.com/office/drawing/2014/chart" uri="{C3380CC4-5D6E-409C-BE32-E72D297353CC}">
              <c16:uniqueId val="{00000001-46B3-4FBC-BEEF-C7148D4F74D8}"/>
            </c:ext>
          </c:extLst>
        </c:ser>
        <c:dLbls>
          <c:showLegendKey val="0"/>
          <c:showVal val="0"/>
          <c:showCatName val="0"/>
          <c:showSerName val="0"/>
          <c:showPercent val="0"/>
          <c:showBubbleSize val="0"/>
        </c:dLbls>
        <c:marker val="1"/>
        <c:smooth val="0"/>
        <c:axId val="941162639"/>
        <c:axId val="941165039"/>
      </c:lineChart>
      <c:catAx>
        <c:axId val="941162639"/>
        <c:scaling>
          <c:orientation val="minMax"/>
        </c:scaling>
        <c:delete val="0"/>
        <c:axPos val="b"/>
        <c:numFmt formatCode="General" sourceLinked="1"/>
        <c:majorTickMark val="none"/>
        <c:minorTickMark val="none"/>
        <c:tickLblPos val="nextTo"/>
        <c:spPr>
          <a:noFill/>
          <a:ln w="9525" cap="flat" cmpd="sng" algn="ctr">
            <a:solidFill>
              <a:srgbClr val="BFBFBF"/>
            </a:solidFill>
            <a:prstDash val="solid"/>
            <a:round/>
          </a:ln>
          <a:effectLst/>
        </c:spPr>
        <c:txPr>
          <a:bodyPr rot="-60000000" spcFirstLastPara="1" vertOverflow="ellipsis" vert="horz" wrap="square" anchor="ctr" anchorCtr="1"/>
          <a:lstStyle/>
          <a:p>
            <a:pPr>
              <a:defRPr sz="900" b="0" i="0" u="none" strike="noStrike" kern="1200" baseline="0">
                <a:solidFill>
                  <a:srgbClr val="404040"/>
                </a:solidFill>
                <a:latin typeface="Calibri"/>
                <a:ea typeface="Calibri"/>
                <a:cs typeface="Calibri"/>
              </a:defRPr>
            </a:pPr>
            <a:endParaRPr lang="en-US"/>
          </a:p>
        </c:txPr>
        <c:crossAx val="941165039"/>
        <c:crosses val="autoZero"/>
        <c:auto val="1"/>
        <c:lblAlgn val="ctr"/>
        <c:lblOffset val="100"/>
        <c:noMultiLvlLbl val="0"/>
      </c:catAx>
      <c:valAx>
        <c:axId val="941165039"/>
        <c:scaling>
          <c:orientation val="minMax"/>
        </c:scaling>
        <c:delete val="0"/>
        <c:axPos val="l"/>
        <c:majorGridlines>
          <c:spPr>
            <a:ln w="9525" cap="flat" cmpd="sng" algn="ctr">
              <a:solidFill>
                <a:srgbClr val="E6E6E6"/>
              </a:solidFill>
              <a:prstDash val="solid"/>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04040"/>
                </a:solidFill>
                <a:latin typeface="Calibri"/>
                <a:ea typeface="Calibri"/>
                <a:cs typeface="Calibri"/>
              </a:defRPr>
            </a:pPr>
            <a:endParaRPr lang="en-US"/>
          </a:p>
        </c:txPr>
        <c:crossAx val="941162639"/>
        <c:crosses val="autoZero"/>
        <c:crossBetween val="between"/>
        <c:majorUnit val="100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404040"/>
              </a:solidFill>
              <a:latin typeface="Calibri"/>
              <a:ea typeface="Calibri"/>
              <a:cs typeface="Calibri"/>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25400" cap="flat" cmpd="sng" algn="ctr">
      <a:noFill/>
      <a:round/>
    </a:ln>
    <a:effectLst/>
  </c:spPr>
  <c:txPr>
    <a:bodyPr/>
    <a:lstStyle/>
    <a:p>
      <a:pPr>
        <a:defRPr sz="900">
          <a:solidFill>
            <a:srgbClr val="40404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404040"/>
                </a:solidFill>
                <a:latin typeface="Calibri"/>
                <a:ea typeface="Calibri"/>
                <a:cs typeface="Calibri"/>
              </a:defRPr>
            </a:pPr>
            <a:r>
              <a:rPr lang="en-US"/>
              <a:t>Spend by Quarter</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404040"/>
              </a:solidFill>
              <a:latin typeface="Calibri"/>
              <a:ea typeface="Calibri"/>
              <a:cs typeface="Calibri"/>
            </a:defRPr>
          </a:pPr>
          <a:endParaRPr lang="en-US"/>
        </a:p>
      </c:txPr>
    </c:title>
    <c:autoTitleDeleted val="0"/>
    <c:plotArea>
      <c:layout/>
      <c:doughnutChart>
        <c:varyColors val="1"/>
        <c:ser>
          <c:idx val="0"/>
          <c:order val="0"/>
          <c:tx>
            <c:strRef>
              <c:f>'Dashboard Data'!$F$21</c:f>
              <c:strCache>
                <c:ptCount val="1"/>
                <c:pt idx="0">
                  <c:v>Spend ($)</c:v>
                </c:pt>
              </c:strCache>
            </c:strRef>
          </c:tx>
          <c:dPt>
            <c:idx val="0"/>
            <c:bubble3D val="0"/>
            <c:spPr>
              <a:solidFill>
                <a:srgbClr val="1F3864"/>
              </a:solidFill>
              <a:ln w="19050">
                <a:solidFill>
                  <a:schemeClr val="lt1"/>
                </a:solidFill>
              </a:ln>
              <a:effectLst/>
            </c:spPr>
            <c:extLst>
              <c:ext xmlns:c16="http://schemas.microsoft.com/office/drawing/2014/chart" uri="{C3380CC4-5D6E-409C-BE32-E72D297353CC}">
                <c16:uniqueId val="{00000001-E062-48A9-8529-65F108FDC90B}"/>
              </c:ext>
            </c:extLst>
          </c:dPt>
          <c:dPt>
            <c:idx val="1"/>
            <c:bubble3D val="0"/>
            <c:spPr>
              <a:solidFill>
                <a:srgbClr val="2E75B6"/>
              </a:solidFill>
              <a:ln w="19050">
                <a:solidFill>
                  <a:schemeClr val="lt1"/>
                </a:solidFill>
              </a:ln>
              <a:effectLst/>
            </c:spPr>
            <c:extLst>
              <c:ext xmlns:c16="http://schemas.microsoft.com/office/drawing/2014/chart" uri="{C3380CC4-5D6E-409C-BE32-E72D297353CC}">
                <c16:uniqueId val="{00000002-E062-48A9-8529-65F108FDC90B}"/>
              </c:ext>
            </c:extLst>
          </c:dPt>
          <c:dPt>
            <c:idx val="2"/>
            <c:bubble3D val="0"/>
            <c:spPr>
              <a:solidFill>
                <a:srgbClr val="9DC3E6"/>
              </a:solidFill>
              <a:ln w="19050">
                <a:solidFill>
                  <a:schemeClr val="lt1"/>
                </a:solidFill>
              </a:ln>
              <a:effectLst/>
            </c:spPr>
            <c:extLst>
              <c:ext xmlns:c16="http://schemas.microsoft.com/office/drawing/2014/chart" uri="{C3380CC4-5D6E-409C-BE32-E72D297353CC}">
                <c16:uniqueId val="{00000003-E062-48A9-8529-65F108FDC90B}"/>
              </c:ext>
            </c:extLst>
          </c:dPt>
          <c:dPt>
            <c:idx val="3"/>
            <c:bubble3D val="0"/>
            <c:spPr>
              <a:solidFill>
                <a:srgbClr val="BDD7EE"/>
              </a:solidFill>
              <a:ln w="19050">
                <a:solidFill>
                  <a:schemeClr val="lt1"/>
                </a:solidFill>
              </a:ln>
              <a:effectLst/>
            </c:spPr>
            <c:extLst>
              <c:ext xmlns:c16="http://schemas.microsoft.com/office/drawing/2014/chart" uri="{C3380CC4-5D6E-409C-BE32-E72D297353CC}">
                <c16:uniqueId val="{00000004-E062-48A9-8529-65F108FDC90B}"/>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Calibri"/>
                    <a:ea typeface="Calibri"/>
                    <a:cs typeface="Calibri"/>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Data'!$E$22:$E$25</c:f>
              <c:strCache>
                <c:ptCount val="4"/>
                <c:pt idx="0">
                  <c:v>Q1</c:v>
                </c:pt>
                <c:pt idx="1">
                  <c:v>Q2</c:v>
                </c:pt>
                <c:pt idx="2">
                  <c:v>Q3</c:v>
                </c:pt>
                <c:pt idx="3">
                  <c:v>Q4</c:v>
                </c:pt>
              </c:strCache>
            </c:strRef>
          </c:cat>
          <c:val>
            <c:numRef>
              <c:f>'Dashboard Data'!$F$22:$F$25</c:f>
              <c:numCache>
                <c:formatCode>General</c:formatCode>
                <c:ptCount val="4"/>
                <c:pt idx="0">
                  <c:v>7829498.8499999996</c:v>
                </c:pt>
                <c:pt idx="1">
                  <c:v>742406.86</c:v>
                </c:pt>
                <c:pt idx="2">
                  <c:v>1547427.0899999999</c:v>
                </c:pt>
                <c:pt idx="3">
                  <c:v>2495149.81</c:v>
                </c:pt>
              </c:numCache>
            </c:numRef>
          </c:val>
          <c:extLst>
            <c:ext xmlns:c16="http://schemas.microsoft.com/office/drawing/2014/chart" uri="{C3380CC4-5D6E-409C-BE32-E72D297353CC}">
              <c16:uniqueId val="{00000000-E062-48A9-8529-65F108FDC90B}"/>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404040"/>
              </a:solidFill>
              <a:latin typeface="Calibri"/>
              <a:ea typeface="Calibri"/>
              <a:cs typeface="Calibri"/>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25400" cap="flat" cmpd="sng" algn="ctr">
      <a:noFill/>
      <a:round/>
    </a:ln>
    <a:effectLst/>
  </c:spPr>
  <c:txPr>
    <a:bodyPr/>
    <a:lstStyle/>
    <a:p>
      <a:pPr>
        <a:defRPr sz="900">
          <a:solidFill>
            <a:srgbClr val="40404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404040"/>
                </a:solidFill>
                <a:latin typeface="Calibri"/>
                <a:ea typeface="Calibri"/>
                <a:cs typeface="Calibri"/>
              </a:defRPr>
            </a:pPr>
            <a:r>
              <a:rPr lang="en-US"/>
              <a:t>Spend by Category</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404040"/>
              </a:solidFill>
              <a:latin typeface="Calibri"/>
              <a:ea typeface="Calibri"/>
              <a:cs typeface="Calibri"/>
            </a:defRPr>
          </a:pPr>
          <a:endParaRPr lang="en-US"/>
        </a:p>
      </c:txPr>
    </c:title>
    <c:autoTitleDeleted val="0"/>
    <c:plotArea>
      <c:layout/>
      <c:barChart>
        <c:barDir val="bar"/>
        <c:grouping val="clustered"/>
        <c:varyColors val="0"/>
        <c:ser>
          <c:idx val="0"/>
          <c:order val="0"/>
          <c:tx>
            <c:strRef>
              <c:f>'Dashboard Data'!$I$21</c:f>
              <c:strCache>
                <c:ptCount val="1"/>
                <c:pt idx="0">
                  <c:v>Spend ($)</c:v>
                </c:pt>
              </c:strCache>
            </c:strRef>
          </c:tx>
          <c:spPr>
            <a:solidFill>
              <a:srgbClr val="2E75B6"/>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4040"/>
                    </a:solidFill>
                    <a:latin typeface="Calibri"/>
                    <a:ea typeface="Calibri"/>
                    <a:cs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Data'!$H$22:$H$27</c:f>
              <c:strCache>
                <c:ptCount val="6"/>
                <c:pt idx="0">
                  <c:v>Office Supplies</c:v>
                </c:pt>
                <c:pt idx="1">
                  <c:v>Packaging</c:v>
                </c:pt>
                <c:pt idx="2">
                  <c:v>MRO</c:v>
                </c:pt>
                <c:pt idx="3">
                  <c:v>Logistics</c:v>
                </c:pt>
                <c:pt idx="4">
                  <c:v>IT Equipment</c:v>
                </c:pt>
                <c:pt idx="5">
                  <c:v>Raw Materials</c:v>
                </c:pt>
              </c:strCache>
            </c:strRef>
          </c:cat>
          <c:val>
            <c:numRef>
              <c:f>'Dashboard Data'!$I$22:$I$27</c:f>
              <c:numCache>
                <c:formatCode>"$"#,##0;\("$"#,##0\);"-"</c:formatCode>
                <c:ptCount val="6"/>
                <c:pt idx="0">
                  <c:v>16395.5</c:v>
                </c:pt>
                <c:pt idx="1">
                  <c:v>20395.739999999998</c:v>
                </c:pt>
                <c:pt idx="2">
                  <c:v>329113.49</c:v>
                </c:pt>
                <c:pt idx="3">
                  <c:v>1197774.23</c:v>
                </c:pt>
                <c:pt idx="4">
                  <c:v>2386315.2999999998</c:v>
                </c:pt>
                <c:pt idx="5">
                  <c:v>8664488.3499999978</c:v>
                </c:pt>
              </c:numCache>
            </c:numRef>
          </c:val>
          <c:extLst>
            <c:ext xmlns:c16="http://schemas.microsoft.com/office/drawing/2014/chart" uri="{C3380CC4-5D6E-409C-BE32-E72D297353CC}">
              <c16:uniqueId val="{00000000-F1CB-4A85-BDC5-EE0D7CA8F67A}"/>
            </c:ext>
          </c:extLst>
        </c:ser>
        <c:dLbls>
          <c:showLegendKey val="0"/>
          <c:showVal val="0"/>
          <c:showCatName val="0"/>
          <c:showSerName val="0"/>
          <c:showPercent val="0"/>
          <c:showBubbleSize val="0"/>
        </c:dLbls>
        <c:gapWidth val="40"/>
        <c:axId val="941175119"/>
        <c:axId val="941168399"/>
      </c:barChart>
      <c:catAx>
        <c:axId val="941175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04040"/>
                </a:solidFill>
                <a:latin typeface="Calibri"/>
                <a:ea typeface="Calibri"/>
                <a:cs typeface="Calibri"/>
              </a:defRPr>
            </a:pPr>
            <a:endParaRPr lang="en-US"/>
          </a:p>
        </c:txPr>
        <c:crossAx val="941168399"/>
        <c:crosses val="autoZero"/>
        <c:auto val="1"/>
        <c:lblAlgn val="ctr"/>
        <c:lblOffset val="100"/>
        <c:noMultiLvlLbl val="0"/>
      </c:catAx>
      <c:valAx>
        <c:axId val="941168399"/>
        <c:scaling>
          <c:orientation val="minMax"/>
        </c:scaling>
        <c:delete val="1"/>
        <c:axPos val="b"/>
        <c:numFmt formatCode="&quot;$&quot;#,##0;\(&quot;$&quot;#,##0\);&quot;-&quot;" sourceLinked="1"/>
        <c:majorTickMark val="none"/>
        <c:minorTickMark val="none"/>
        <c:tickLblPos val="nextTo"/>
        <c:crossAx val="941175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25400" cap="flat" cmpd="sng" algn="ctr">
      <a:noFill/>
      <a:round/>
    </a:ln>
    <a:effectLst/>
  </c:spPr>
  <c:txPr>
    <a:bodyPr/>
    <a:lstStyle/>
    <a:p>
      <a:pPr>
        <a:defRPr sz="900">
          <a:solidFill>
            <a:srgbClr val="40404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404040"/>
                </a:solidFill>
                <a:latin typeface="Calibri"/>
                <a:ea typeface="Calibri"/>
                <a:cs typeface="Calibri"/>
              </a:defRPr>
            </a:pPr>
            <a:r>
              <a:rPr lang="en-US"/>
              <a:t>Spend by Department</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404040"/>
              </a:solidFill>
              <a:latin typeface="Calibri"/>
              <a:ea typeface="Calibri"/>
              <a:cs typeface="Calibri"/>
            </a:defRPr>
          </a:pPr>
          <a:endParaRPr lang="en-US"/>
        </a:p>
      </c:txPr>
    </c:title>
    <c:autoTitleDeleted val="0"/>
    <c:plotArea>
      <c:layout/>
      <c:doughnutChart>
        <c:varyColors val="1"/>
        <c:ser>
          <c:idx val="0"/>
          <c:order val="0"/>
          <c:tx>
            <c:strRef>
              <c:f>'Dashboard Data'!$L$21</c:f>
              <c:strCache>
                <c:ptCount val="1"/>
                <c:pt idx="0">
                  <c:v>Spend ($)</c:v>
                </c:pt>
              </c:strCache>
            </c:strRef>
          </c:tx>
          <c:dPt>
            <c:idx val="0"/>
            <c:bubble3D val="0"/>
            <c:spPr>
              <a:solidFill>
                <a:srgbClr val="1F3864"/>
              </a:solidFill>
              <a:ln w="19050">
                <a:solidFill>
                  <a:schemeClr val="lt1"/>
                </a:solidFill>
              </a:ln>
              <a:effectLst/>
            </c:spPr>
            <c:extLst>
              <c:ext xmlns:c16="http://schemas.microsoft.com/office/drawing/2014/chart" uri="{C3380CC4-5D6E-409C-BE32-E72D297353CC}">
                <c16:uniqueId val="{00000001-FEFB-4115-99A1-DE0A84F89126}"/>
              </c:ext>
            </c:extLst>
          </c:dPt>
          <c:dPt>
            <c:idx val="1"/>
            <c:bubble3D val="0"/>
            <c:spPr>
              <a:solidFill>
                <a:srgbClr val="2E75B6"/>
              </a:solidFill>
              <a:ln w="19050">
                <a:solidFill>
                  <a:schemeClr val="lt1"/>
                </a:solidFill>
              </a:ln>
              <a:effectLst/>
            </c:spPr>
            <c:extLst>
              <c:ext xmlns:c16="http://schemas.microsoft.com/office/drawing/2014/chart" uri="{C3380CC4-5D6E-409C-BE32-E72D297353CC}">
                <c16:uniqueId val="{00000002-FEFB-4115-99A1-DE0A84F89126}"/>
              </c:ext>
            </c:extLst>
          </c:dPt>
          <c:dPt>
            <c:idx val="2"/>
            <c:bubble3D val="0"/>
            <c:spPr>
              <a:solidFill>
                <a:srgbClr val="9DC3E6"/>
              </a:solidFill>
              <a:ln w="19050">
                <a:solidFill>
                  <a:schemeClr val="lt1"/>
                </a:solidFill>
              </a:ln>
              <a:effectLst/>
            </c:spPr>
            <c:extLst>
              <c:ext xmlns:c16="http://schemas.microsoft.com/office/drawing/2014/chart" uri="{C3380CC4-5D6E-409C-BE32-E72D297353CC}">
                <c16:uniqueId val="{00000003-FEFB-4115-99A1-DE0A84F89126}"/>
              </c:ext>
            </c:extLst>
          </c:dPt>
          <c:dPt>
            <c:idx val="3"/>
            <c:bubble3D val="0"/>
            <c:spPr>
              <a:solidFill>
                <a:srgbClr val="BDD7EE"/>
              </a:solidFill>
              <a:ln w="19050">
                <a:solidFill>
                  <a:schemeClr val="lt1"/>
                </a:solidFill>
              </a:ln>
              <a:effectLst/>
            </c:spPr>
            <c:extLst>
              <c:ext xmlns:c16="http://schemas.microsoft.com/office/drawing/2014/chart" uri="{C3380CC4-5D6E-409C-BE32-E72D297353CC}">
                <c16:uniqueId val="{00000004-FEFB-4115-99A1-DE0A84F89126}"/>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Calibri"/>
                    <a:ea typeface="Calibri"/>
                    <a:cs typeface="Calibri"/>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Data'!$K$22:$K$25</c:f>
              <c:strCache>
                <c:ptCount val="4"/>
                <c:pt idx="0">
                  <c:v>Supply Chain</c:v>
                </c:pt>
                <c:pt idx="1">
                  <c:v>Production</c:v>
                </c:pt>
                <c:pt idx="2">
                  <c:v>Admin</c:v>
                </c:pt>
                <c:pt idx="3">
                  <c:v>IT</c:v>
                </c:pt>
              </c:strCache>
            </c:strRef>
          </c:cat>
          <c:val>
            <c:numRef>
              <c:f>'Dashboard Data'!$L$22:$L$25</c:f>
              <c:numCache>
                <c:formatCode>General</c:formatCode>
                <c:ptCount val="4"/>
                <c:pt idx="0">
                  <c:v>5880295.1000000006</c:v>
                </c:pt>
                <c:pt idx="1">
                  <c:v>5528617.8499999996</c:v>
                </c:pt>
                <c:pt idx="2">
                  <c:v>610542.52</c:v>
                </c:pt>
                <c:pt idx="3">
                  <c:v>595027.1399999999</c:v>
                </c:pt>
              </c:numCache>
            </c:numRef>
          </c:val>
          <c:extLst>
            <c:ext xmlns:c16="http://schemas.microsoft.com/office/drawing/2014/chart" uri="{C3380CC4-5D6E-409C-BE32-E72D297353CC}">
              <c16:uniqueId val="{00000000-FEFB-4115-99A1-DE0A84F89126}"/>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404040"/>
              </a:solidFill>
              <a:latin typeface="Calibri"/>
              <a:ea typeface="Calibri"/>
              <a:cs typeface="Calibri"/>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25400" cap="flat" cmpd="sng" algn="ctr">
      <a:noFill/>
      <a:round/>
    </a:ln>
    <a:effectLst/>
  </c:spPr>
  <c:txPr>
    <a:bodyPr/>
    <a:lstStyle/>
    <a:p>
      <a:pPr>
        <a:defRPr sz="900">
          <a:solidFill>
            <a:srgbClr val="40404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404040"/>
                </a:solidFill>
                <a:latin typeface="Calibri"/>
                <a:ea typeface="Calibri"/>
                <a:cs typeface="Calibri"/>
              </a:defRPr>
            </a:pPr>
            <a:r>
              <a:rPr lang="en-US"/>
              <a:t>Category Concentration – Pareto (share of spend vs cumulative)</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404040"/>
              </a:solidFill>
              <a:latin typeface="Calibri"/>
              <a:ea typeface="Calibri"/>
              <a:cs typeface="Calibri"/>
            </a:defRPr>
          </a:pPr>
          <a:endParaRPr lang="en-US"/>
        </a:p>
      </c:txPr>
    </c:title>
    <c:autoTitleDeleted val="0"/>
    <c:plotArea>
      <c:layout/>
      <c:barChart>
        <c:barDir val="col"/>
        <c:grouping val="clustered"/>
        <c:varyColors val="0"/>
        <c:ser>
          <c:idx val="0"/>
          <c:order val="0"/>
          <c:tx>
            <c:strRef>
              <c:f>'Dashboard Data'!$O$21</c:f>
              <c:strCache>
                <c:ptCount val="1"/>
                <c:pt idx="0">
                  <c:v>Share of spend</c:v>
                </c:pt>
              </c:strCache>
            </c:strRef>
          </c:tx>
          <c:spPr>
            <a:solidFill>
              <a:srgbClr val="2E75B6"/>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4040"/>
                    </a:solidFill>
                    <a:latin typeface="Calibri"/>
                    <a:ea typeface="Calibri"/>
                    <a:cs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Data'!$N$22:$N$27</c:f>
              <c:strCache>
                <c:ptCount val="6"/>
                <c:pt idx="0">
                  <c:v>Raw Materials</c:v>
                </c:pt>
                <c:pt idx="1">
                  <c:v>IT Equipment</c:v>
                </c:pt>
                <c:pt idx="2">
                  <c:v>Logistics</c:v>
                </c:pt>
                <c:pt idx="3">
                  <c:v>MRO</c:v>
                </c:pt>
                <c:pt idx="4">
                  <c:v>Packaging</c:v>
                </c:pt>
                <c:pt idx="5">
                  <c:v>Office Supplies</c:v>
                </c:pt>
              </c:strCache>
            </c:strRef>
          </c:cat>
          <c:val>
            <c:numRef>
              <c:f>'Dashboard Data'!$O$22:$O$27</c:f>
              <c:numCache>
                <c:formatCode>General</c:formatCode>
                <c:ptCount val="6"/>
                <c:pt idx="0">
                  <c:v>0.68686830985293978</c:v>
                </c:pt>
                <c:pt idx="1">
                  <c:v>0.1891726655604784</c:v>
                </c:pt>
                <c:pt idx="2">
                  <c:v>9.4952307362212177E-2</c:v>
                </c:pt>
                <c:pt idx="3">
                  <c:v>2.6090129906643878E-2</c:v>
                </c:pt>
                <c:pt idx="4">
                  <c:v>1.6168510933481722E-3</c:v>
                </c:pt>
                <c:pt idx="5">
                  <c:v>1.2997362243777357E-3</c:v>
                </c:pt>
              </c:numCache>
            </c:numRef>
          </c:val>
          <c:extLst>
            <c:ext xmlns:c16="http://schemas.microsoft.com/office/drawing/2014/chart" uri="{C3380CC4-5D6E-409C-BE32-E72D297353CC}">
              <c16:uniqueId val="{00000000-04BB-4E7E-9CC3-21F9FA4FF380}"/>
            </c:ext>
          </c:extLst>
        </c:ser>
        <c:dLbls>
          <c:showLegendKey val="0"/>
          <c:showVal val="0"/>
          <c:showCatName val="0"/>
          <c:showSerName val="0"/>
          <c:showPercent val="0"/>
          <c:showBubbleSize val="0"/>
        </c:dLbls>
        <c:gapWidth val="45"/>
        <c:overlap val="-27"/>
        <c:axId val="729462095"/>
        <c:axId val="729459695"/>
      </c:barChart>
      <c:lineChart>
        <c:grouping val="standard"/>
        <c:varyColors val="0"/>
        <c:ser>
          <c:idx val="1"/>
          <c:order val="1"/>
          <c:tx>
            <c:strRef>
              <c:f>'Dashboard Data'!$P$21</c:f>
              <c:strCache>
                <c:ptCount val="1"/>
                <c:pt idx="0">
                  <c:v>Cumulative %</c:v>
                </c:pt>
              </c:strCache>
            </c:strRef>
          </c:tx>
          <c:spPr>
            <a:ln w="25400" cap="rnd">
              <a:solidFill>
                <a:srgbClr val="ED7D31"/>
              </a:solidFill>
              <a:prstDash val="solid"/>
              <a:round/>
            </a:ln>
            <a:effectLst/>
          </c:spPr>
          <c:marker>
            <c:symbol val="circle"/>
            <c:size val="5"/>
            <c:spPr>
              <a:solidFill>
                <a:srgbClr val="ED7D31"/>
              </a:solidFill>
              <a:ln w="9525">
                <a:solidFill>
                  <a:srgbClr val="ED7D31"/>
                </a:solidFill>
                <a:prstDash val="solid"/>
              </a:ln>
              <a:effectLst/>
            </c:spPr>
          </c:marker>
          <c:cat>
            <c:strRef>
              <c:f>'Dashboard Data'!$N$22:$N$27</c:f>
              <c:strCache>
                <c:ptCount val="6"/>
                <c:pt idx="0">
                  <c:v>Raw Materials</c:v>
                </c:pt>
                <c:pt idx="1">
                  <c:v>IT Equipment</c:v>
                </c:pt>
                <c:pt idx="2">
                  <c:v>Logistics</c:v>
                </c:pt>
                <c:pt idx="3">
                  <c:v>MRO</c:v>
                </c:pt>
                <c:pt idx="4">
                  <c:v>Packaging</c:v>
                </c:pt>
                <c:pt idx="5">
                  <c:v>Office Supplies</c:v>
                </c:pt>
              </c:strCache>
            </c:strRef>
          </c:cat>
          <c:val>
            <c:numRef>
              <c:f>'Dashboard Data'!$P$22:$P$27</c:f>
              <c:numCache>
                <c:formatCode>General</c:formatCode>
                <c:ptCount val="6"/>
                <c:pt idx="0">
                  <c:v>0.68686830985293978</c:v>
                </c:pt>
                <c:pt idx="1">
                  <c:v>0.87604097541341819</c:v>
                </c:pt>
                <c:pt idx="2">
                  <c:v>0.97099328277563035</c:v>
                </c:pt>
                <c:pt idx="3">
                  <c:v>0.99708341268227418</c:v>
                </c:pt>
                <c:pt idx="4">
                  <c:v>0.99870026377562238</c:v>
                </c:pt>
                <c:pt idx="5">
                  <c:v>1.0000000000000002</c:v>
                </c:pt>
              </c:numCache>
            </c:numRef>
          </c:val>
          <c:smooth val="0"/>
          <c:extLst>
            <c:ext xmlns:c16="http://schemas.microsoft.com/office/drawing/2014/chart" uri="{C3380CC4-5D6E-409C-BE32-E72D297353CC}">
              <c16:uniqueId val="{00000001-04BB-4E7E-9CC3-21F9FA4FF380}"/>
            </c:ext>
          </c:extLst>
        </c:ser>
        <c:dLbls>
          <c:showLegendKey val="0"/>
          <c:showVal val="0"/>
          <c:showCatName val="0"/>
          <c:showSerName val="0"/>
          <c:showPercent val="0"/>
          <c:showBubbleSize val="0"/>
        </c:dLbls>
        <c:marker val="1"/>
        <c:smooth val="0"/>
        <c:axId val="729462095"/>
        <c:axId val="729459695"/>
      </c:lineChart>
      <c:catAx>
        <c:axId val="729462095"/>
        <c:scaling>
          <c:orientation val="minMax"/>
        </c:scaling>
        <c:delete val="0"/>
        <c:axPos val="b"/>
        <c:numFmt formatCode="General" sourceLinked="1"/>
        <c:majorTickMark val="none"/>
        <c:minorTickMark val="none"/>
        <c:tickLblPos val="nextTo"/>
        <c:spPr>
          <a:noFill/>
          <a:ln w="9525" cap="flat" cmpd="sng" algn="ctr">
            <a:solidFill>
              <a:srgbClr val="BFBFBF"/>
            </a:solidFill>
            <a:prstDash val="solid"/>
            <a:round/>
          </a:ln>
          <a:effectLst/>
        </c:spPr>
        <c:txPr>
          <a:bodyPr rot="-60000000" spcFirstLastPara="1" vertOverflow="ellipsis" vert="horz" wrap="square" anchor="ctr" anchorCtr="1"/>
          <a:lstStyle/>
          <a:p>
            <a:pPr>
              <a:defRPr sz="900" b="0" i="0" u="none" strike="noStrike" kern="1200" baseline="0">
                <a:solidFill>
                  <a:srgbClr val="404040"/>
                </a:solidFill>
                <a:latin typeface="Calibri"/>
                <a:ea typeface="Calibri"/>
                <a:cs typeface="Calibri"/>
              </a:defRPr>
            </a:pPr>
            <a:endParaRPr lang="en-US"/>
          </a:p>
        </c:txPr>
        <c:crossAx val="729459695"/>
        <c:crosses val="autoZero"/>
        <c:auto val="1"/>
        <c:lblAlgn val="ctr"/>
        <c:lblOffset val="100"/>
        <c:noMultiLvlLbl val="0"/>
      </c:catAx>
      <c:valAx>
        <c:axId val="729459695"/>
        <c:scaling>
          <c:orientation val="minMax"/>
          <c:max val="1"/>
          <c:min val="0"/>
        </c:scaling>
        <c:delete val="0"/>
        <c:axPos val="l"/>
        <c:majorGridlines>
          <c:spPr>
            <a:ln w="9525" cap="flat" cmpd="sng" algn="ctr">
              <a:solidFill>
                <a:srgbClr val="E6E6E6"/>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04040"/>
                </a:solidFill>
                <a:latin typeface="Calibri"/>
                <a:ea typeface="Calibri"/>
                <a:cs typeface="Calibri"/>
              </a:defRPr>
            </a:pPr>
            <a:endParaRPr lang="en-US"/>
          </a:p>
        </c:txPr>
        <c:crossAx val="729462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404040"/>
              </a:solidFill>
              <a:latin typeface="Calibri"/>
              <a:ea typeface="Calibri"/>
              <a:cs typeface="Calibri"/>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25400" cap="flat" cmpd="sng" algn="ctr">
      <a:noFill/>
      <a:round/>
    </a:ln>
    <a:effectLst/>
  </c:spPr>
  <c:txPr>
    <a:bodyPr/>
    <a:lstStyle/>
    <a:p>
      <a:pPr>
        <a:defRPr sz="900">
          <a:solidFill>
            <a:srgbClr val="40404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[Spend_Cost_Analysis.xlsx]Sheet2!PivotTable2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Spend by Dept.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0526315789473675"/>
              <c:y val="0.160776055499387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1027568922305764"/>
              <c:y val="0.166320057413159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9548872180451127"/>
              <c:y val="-4.43520153101760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9047619047619047"/>
              <c:y val="-6.09840210514920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Sheet2!$J$3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5-5CEE-4BCE-B3F3-71F0B703408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4-5CEE-4BCE-B3F3-71F0B703408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2-5CEE-4BCE-B3F3-71F0B703408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3-5CEE-4BCE-B3F3-71F0B7034088}"/>
              </c:ext>
            </c:extLst>
          </c:dPt>
          <c:dLbls>
            <c:dLbl>
              <c:idx val="0"/>
              <c:layout>
                <c:manualLayout>
                  <c:x val="-0.19047619047619047"/>
                  <c:y val="-6.09840210514920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EE-4BCE-B3F3-71F0B7034088}"/>
                </c:ext>
              </c:extLst>
            </c:dLbl>
            <c:dLbl>
              <c:idx val="1"/>
              <c:layout>
                <c:manualLayout>
                  <c:x val="0.19548872180451127"/>
                  <c:y val="-4.43520153101760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EE-4BCE-B3F3-71F0B7034088}"/>
                </c:ext>
              </c:extLst>
            </c:dLbl>
            <c:dLbl>
              <c:idx val="2"/>
              <c:layout>
                <c:manualLayout>
                  <c:x val="0.10526315789473675"/>
                  <c:y val="0.160776055499387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EE-4BCE-B3F3-71F0B7034088}"/>
                </c:ext>
              </c:extLst>
            </c:dLbl>
            <c:dLbl>
              <c:idx val="3"/>
              <c:layout>
                <c:manualLayout>
                  <c:x val="-0.11027568922305764"/>
                  <c:y val="0.166320057413159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EE-4BCE-B3F3-71F0B70340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Sheet2!$I$4:$I$8</c:f>
              <c:strCache>
                <c:ptCount val="4"/>
                <c:pt idx="0">
                  <c:v>Admin</c:v>
                </c:pt>
                <c:pt idx="1">
                  <c:v>IT</c:v>
                </c:pt>
                <c:pt idx="2">
                  <c:v>Production</c:v>
                </c:pt>
                <c:pt idx="3">
                  <c:v>Supply Chain</c:v>
                </c:pt>
              </c:strCache>
            </c:strRef>
          </c:cat>
          <c:val>
            <c:numRef>
              <c:f>Sheet2!$J$4:$J$8</c:f>
              <c:numCache>
                <c:formatCode>0.00%</c:formatCode>
                <c:ptCount val="4"/>
                <c:pt idx="0">
                  <c:v>4.8400123800242029E-2</c:v>
                </c:pt>
                <c:pt idx="1">
                  <c:v>4.7170158174247946E-2</c:v>
                </c:pt>
                <c:pt idx="2">
                  <c:v>0.43827543474650693</c:v>
                </c:pt>
                <c:pt idx="3">
                  <c:v>0.46615428327900343</c:v>
                </c:pt>
              </c:numCache>
            </c:numRef>
          </c:val>
          <c:extLst>
            <c:ext xmlns:c16="http://schemas.microsoft.com/office/drawing/2014/chart" uri="{C3380CC4-5D6E-409C-BE32-E72D297353CC}">
              <c16:uniqueId val="{00000000-5CEE-4BCE-B3F3-71F0B703408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[Spend_Cost_Analysis.xlsx]Sheet2!PivotTable3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wise Spend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Sheet2!$M$3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4A4-44ED-95E3-AD91F03AE12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4A4-44ED-95E3-AD91F03AE12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4A4-44ED-95E3-AD91F03AE12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4A4-44ED-95E3-AD91F03AE12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4A4-44ED-95E3-AD91F03AE12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4A4-44ED-95E3-AD91F03AE1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Sheet2!$L$4:$L$10</c:f>
              <c:strCache>
                <c:ptCount val="6"/>
                <c:pt idx="0">
                  <c:v>IT Equipment</c:v>
                </c:pt>
                <c:pt idx="1">
                  <c:v>Logistics</c:v>
                </c:pt>
                <c:pt idx="2">
                  <c:v>MRO</c:v>
                </c:pt>
                <c:pt idx="3">
                  <c:v>Office Supplies</c:v>
                </c:pt>
                <c:pt idx="4">
                  <c:v>Packaging</c:v>
                </c:pt>
                <c:pt idx="5">
                  <c:v>Raw Materials</c:v>
                </c:pt>
              </c:strCache>
            </c:strRef>
          </c:cat>
          <c:val>
            <c:numRef>
              <c:f>Sheet2!$M$4:$M$10</c:f>
              <c:numCache>
                <c:formatCode>General</c:formatCode>
                <c:ptCount val="6"/>
                <c:pt idx="0">
                  <c:v>2386315.2999999998</c:v>
                </c:pt>
                <c:pt idx="1">
                  <c:v>1197774.23</c:v>
                </c:pt>
                <c:pt idx="2">
                  <c:v>329113.49</c:v>
                </c:pt>
                <c:pt idx="3">
                  <c:v>16395.5</c:v>
                </c:pt>
                <c:pt idx="4">
                  <c:v>20395.739999999998</c:v>
                </c:pt>
                <c:pt idx="5">
                  <c:v>8664488.3499999978</c:v>
                </c:pt>
              </c:numCache>
            </c:numRef>
          </c:val>
          <c:extLst>
            <c:ext xmlns:c16="http://schemas.microsoft.com/office/drawing/2014/chart" uri="{C3380CC4-5D6E-409C-BE32-E72D297353CC}">
              <c16:uniqueId val="{00000000-5CF0-4049-8293-8ACE565A762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[Spend_Cost_Analysis.xlsx]Sheet2!PivotTable4</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 By Spend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bg1">
              <a:lumMod val="9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Sheet2!$S$3</c:f>
              <c:strCache>
                <c:ptCount val="1"/>
                <c:pt idx="0">
                  <c:v>Total</c:v>
                </c:pt>
              </c:strCache>
            </c:strRef>
          </c:tx>
          <c:spPr>
            <a:solidFill>
              <a:schemeClr val="bg1">
                <a:lumMod val="9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Sheet2!$Q$4:$R$16</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Sheet2!$S$4:$S$16</c:f>
              <c:numCache>
                <c:formatCode>General</c:formatCode>
                <c:ptCount val="12"/>
                <c:pt idx="0">
                  <c:v>3480552.5999999996</c:v>
                </c:pt>
                <c:pt idx="1">
                  <c:v>584841.79999999993</c:v>
                </c:pt>
                <c:pt idx="2">
                  <c:v>3764104.45</c:v>
                </c:pt>
                <c:pt idx="3">
                  <c:v>129550.41</c:v>
                </c:pt>
                <c:pt idx="4">
                  <c:v>454227.29999999993</c:v>
                </c:pt>
                <c:pt idx="5">
                  <c:v>158629.15</c:v>
                </c:pt>
                <c:pt idx="6">
                  <c:v>278027.78000000003</c:v>
                </c:pt>
                <c:pt idx="7">
                  <c:v>1265283.8699999999</c:v>
                </c:pt>
                <c:pt idx="8">
                  <c:v>4115.4399999999996</c:v>
                </c:pt>
                <c:pt idx="9">
                  <c:v>10323.74</c:v>
                </c:pt>
                <c:pt idx="10">
                  <c:v>231048.53999999998</c:v>
                </c:pt>
                <c:pt idx="11">
                  <c:v>2253777.5300000003</c:v>
                </c:pt>
              </c:numCache>
            </c:numRef>
          </c:val>
          <c:extLst>
            <c:ext xmlns:c16="http://schemas.microsoft.com/office/drawing/2014/chart" uri="{C3380CC4-5D6E-409C-BE32-E72D297353CC}">
              <c16:uniqueId val="{00000000-8B92-4E58-989C-973B77249C46}"/>
            </c:ext>
          </c:extLst>
        </c:ser>
        <c:dLbls>
          <c:showLegendKey val="0"/>
          <c:showVal val="0"/>
          <c:showCatName val="0"/>
          <c:showSerName val="0"/>
          <c:showPercent val="0"/>
          <c:showBubbleSize val="0"/>
        </c:dLbls>
        <c:gapWidth val="100"/>
        <c:overlap val="-24"/>
        <c:axId val="670420991"/>
        <c:axId val="670428671"/>
      </c:barChart>
      <c:catAx>
        <c:axId val="6704209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0428671"/>
        <c:crosses val="autoZero"/>
        <c:auto val="1"/>
        <c:lblAlgn val="ctr"/>
        <c:lblOffset val="100"/>
        <c:noMultiLvlLbl val="0"/>
      </c:catAx>
      <c:valAx>
        <c:axId val="6704286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0420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837</xdr:colOff>
      <xdr:row>9</xdr:row>
      <xdr:rowOff>13816</xdr:rowOff>
    </xdr:from>
    <xdr:to>
      <xdr:col>12</xdr:col>
      <xdr:colOff>598156</xdr:colOff>
      <xdr:row>27</xdr:row>
      <xdr:rowOff>43962</xdr:rowOff>
    </xdr:to>
    <xdr:graphicFrame macro="">
      <xdr:nvGraphicFramePr>
        <xdr:cNvPr id="7" name="Monthly Trend">
          <a:extLst>
            <a:ext uri="{FF2B5EF4-FFF2-40B4-BE49-F238E27FC236}">
              <a16:creationId xmlns:a16="http://schemas.microsoft.com/office/drawing/2014/main" id="{F9BCD98B-9FEF-178D-468F-A3C5487FC9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12840</xdr:colOff>
      <xdr:row>9</xdr:row>
      <xdr:rowOff>13816</xdr:rowOff>
    </xdr:from>
    <xdr:to>
      <xdr:col>19</xdr:col>
      <xdr:colOff>18841</xdr:colOff>
      <xdr:row>27</xdr:row>
      <xdr:rowOff>43962</xdr:rowOff>
    </xdr:to>
    <xdr:graphicFrame macro="">
      <xdr:nvGraphicFramePr>
        <xdr:cNvPr id="8" name="Quarter Mix">
          <a:extLst>
            <a:ext uri="{FF2B5EF4-FFF2-40B4-BE49-F238E27FC236}">
              <a16:creationId xmlns:a16="http://schemas.microsoft.com/office/drawing/2014/main" id="{B962EC47-E100-F22F-0840-846E9BCD6D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837</xdr:colOff>
      <xdr:row>29</xdr:row>
      <xdr:rowOff>48148</xdr:rowOff>
    </xdr:from>
    <xdr:to>
      <xdr:col>9</xdr:col>
      <xdr:colOff>626905</xdr:colOff>
      <xdr:row>47</xdr:row>
      <xdr:rowOff>78293</xdr:rowOff>
    </xdr:to>
    <xdr:graphicFrame macro="">
      <xdr:nvGraphicFramePr>
        <xdr:cNvPr id="9" name="Category Spend">
          <a:extLst>
            <a:ext uri="{FF2B5EF4-FFF2-40B4-BE49-F238E27FC236}">
              <a16:creationId xmlns:a16="http://schemas.microsoft.com/office/drawing/2014/main" id="{8C37E0E0-2932-08D6-5D91-05A46F5F4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41589</xdr:colOff>
      <xdr:row>29</xdr:row>
      <xdr:rowOff>48148</xdr:rowOff>
    </xdr:from>
    <xdr:to>
      <xdr:col>19</xdr:col>
      <xdr:colOff>18841</xdr:colOff>
      <xdr:row>47</xdr:row>
      <xdr:rowOff>78293</xdr:rowOff>
    </xdr:to>
    <xdr:graphicFrame macro="">
      <xdr:nvGraphicFramePr>
        <xdr:cNvPr id="10" name="Department Mix">
          <a:extLst>
            <a:ext uri="{FF2B5EF4-FFF2-40B4-BE49-F238E27FC236}">
              <a16:creationId xmlns:a16="http://schemas.microsoft.com/office/drawing/2014/main" id="{7DE4FF70-B2B8-6806-F2F2-E636D7538B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837</xdr:colOff>
      <xdr:row>49</xdr:row>
      <xdr:rowOff>82480</xdr:rowOff>
    </xdr:from>
    <xdr:to>
      <xdr:col>19</xdr:col>
      <xdr:colOff>18841</xdr:colOff>
      <xdr:row>67</xdr:row>
      <xdr:rowOff>112625</xdr:rowOff>
    </xdr:to>
    <xdr:graphicFrame macro="">
      <xdr:nvGraphicFramePr>
        <xdr:cNvPr id="11" name="Category Pareto">
          <a:extLst>
            <a:ext uri="{FF2B5EF4-FFF2-40B4-BE49-F238E27FC236}">
              <a16:creationId xmlns:a16="http://schemas.microsoft.com/office/drawing/2014/main" id="{419A2777-F7C7-D9A3-1D32-5E28CF7F5D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590550</xdr:colOff>
      <xdr:row>8</xdr:row>
      <xdr:rowOff>138112</xdr:rowOff>
    </xdr:from>
    <xdr:to>
      <xdr:col>10</xdr:col>
      <xdr:colOff>400050</xdr:colOff>
      <xdr:row>20</xdr:row>
      <xdr:rowOff>142876</xdr:rowOff>
    </xdr:to>
    <xdr:graphicFrame macro="">
      <xdr:nvGraphicFramePr>
        <xdr:cNvPr id="2" name="Chart 1">
          <a:extLst>
            <a:ext uri="{FF2B5EF4-FFF2-40B4-BE49-F238E27FC236}">
              <a16:creationId xmlns:a16="http://schemas.microsoft.com/office/drawing/2014/main" id="{3AB4E27A-1469-0D9F-ACC9-56B5F6DFD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552450</xdr:colOff>
      <xdr:row>13</xdr:row>
      <xdr:rowOff>33337</xdr:rowOff>
    </xdr:from>
    <xdr:to>
      <xdr:col>15</xdr:col>
      <xdr:colOff>581025</xdr:colOff>
      <xdr:row>28</xdr:row>
      <xdr:rowOff>47625</xdr:rowOff>
    </xdr:to>
    <xdr:graphicFrame macro="">
      <xdr:nvGraphicFramePr>
        <xdr:cNvPr id="3" name="Chart 2">
          <a:extLst>
            <a:ext uri="{FF2B5EF4-FFF2-40B4-BE49-F238E27FC236}">
              <a16:creationId xmlns:a16="http://schemas.microsoft.com/office/drawing/2014/main" id="{29A3B922-B541-B17B-12BB-D607D19FB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228600</xdr:colOff>
      <xdr:row>18</xdr:row>
      <xdr:rowOff>71437</xdr:rowOff>
    </xdr:from>
    <xdr:to>
      <xdr:col>22</xdr:col>
      <xdr:colOff>9525</xdr:colOff>
      <xdr:row>32</xdr:row>
      <xdr:rowOff>147637</xdr:rowOff>
    </xdr:to>
    <xdr:graphicFrame macro="">
      <xdr:nvGraphicFramePr>
        <xdr:cNvPr id="4" name="Chart 3">
          <a:extLst>
            <a:ext uri="{FF2B5EF4-FFF2-40B4-BE49-F238E27FC236}">
              <a16:creationId xmlns:a16="http://schemas.microsoft.com/office/drawing/2014/main" id="{835BFCDB-A7CB-7AF1-1ED2-377AE9C6C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238125</xdr:colOff>
      <xdr:row>10</xdr:row>
      <xdr:rowOff>95250</xdr:rowOff>
    </xdr:from>
    <xdr:to>
      <xdr:col>22</xdr:col>
      <xdr:colOff>238125</xdr:colOff>
      <xdr:row>24</xdr:row>
      <xdr:rowOff>95250</xdr:rowOff>
    </xdr:to>
    <mc:AlternateContent xmlns:mc="http://schemas.openxmlformats.org/markup-compatibility/2006" xmlns:a14="http://schemas.microsoft.com/office/drawing/2010/main">
      <mc:Choice Requires="a14">
        <xdr:graphicFrame macro="">
          <xdr:nvGraphicFramePr>
            <xdr:cNvPr id="5" name="Quarter">
              <a:extLst>
                <a:ext uri="{FF2B5EF4-FFF2-40B4-BE49-F238E27FC236}">
                  <a16:creationId xmlns:a16="http://schemas.microsoft.com/office/drawing/2014/main" id="{20EC40A5-31D6-67E4-5157-7048BD8FCEFE}"/>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6059150" y="20002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104775</xdr:colOff>
      <xdr:row>13</xdr:row>
      <xdr:rowOff>0</xdr:rowOff>
    </xdr:from>
    <xdr:to>
      <xdr:col>23</xdr:col>
      <xdr:colOff>104775</xdr:colOff>
      <xdr:row>27</xdr:row>
      <xdr:rowOff>0</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86533409-A61E-8439-95D4-A91362ACA88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535400" y="24765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581025</xdr:colOff>
      <xdr:row>15</xdr:row>
      <xdr:rowOff>95250</xdr:rowOff>
    </xdr:from>
    <xdr:to>
      <xdr:col>23</xdr:col>
      <xdr:colOff>581025</xdr:colOff>
      <xdr:row>29</xdr:row>
      <xdr:rowOff>95250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B410059-E8CA-FEB5-C2D8-7FFA7B61E26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011650" y="29527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447675</xdr:colOff>
      <xdr:row>18</xdr:row>
      <xdr:rowOff>0</xdr:rowOff>
    </xdr:from>
    <xdr:to>
      <xdr:col>24</xdr:col>
      <xdr:colOff>447675</xdr:colOff>
      <xdr:row>32</xdr:row>
      <xdr:rowOff>0</xdr:rowOff>
    </xdr:to>
    <mc:AlternateContent xmlns:mc="http://schemas.openxmlformats.org/markup-compatibility/2006" xmlns:a14="http://schemas.microsoft.com/office/drawing/2010/main">
      <mc:Choice Requires="a14">
        <xdr:graphicFrame macro="">
          <xdr:nvGraphicFramePr>
            <xdr:cNvPr id="8" name="Vendor Name">
              <a:extLst>
                <a:ext uri="{FF2B5EF4-FFF2-40B4-BE49-F238E27FC236}">
                  <a16:creationId xmlns:a16="http://schemas.microsoft.com/office/drawing/2014/main" id="{8BAF4468-E8C6-DF38-6908-40536C117454}"/>
                </a:ext>
              </a:extLst>
            </xdr:cNvPr>
            <xdr:cNvGraphicFramePr/>
          </xdr:nvGraphicFramePr>
          <xdr:xfrm>
            <a:off x="0" y="0"/>
            <a:ext cx="0" cy="0"/>
          </xdr:xfrm>
          <a:graphic>
            <a:graphicData uri="http://schemas.microsoft.com/office/drawing/2010/slicer">
              <sle:slicer xmlns:sle="http://schemas.microsoft.com/office/drawing/2010/slicer" name="Vendor Name"/>
            </a:graphicData>
          </a:graphic>
        </xdr:graphicFrame>
      </mc:Choice>
      <mc:Fallback xmlns="">
        <xdr:sp macro="" textlink="">
          <xdr:nvSpPr>
            <xdr:cNvPr id="0" name=""/>
            <xdr:cNvSpPr>
              <a:spLocks noTextEdit="1"/>
            </xdr:cNvSpPr>
          </xdr:nvSpPr>
          <xdr:spPr>
            <a:xfrm>
              <a:off x="17487900" y="3429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Click" refreshedDate="46217.939636805553" createdVersion="5" refreshedVersion="8" minRefreshableVersion="3" recordCount="0" supportSubquery="1" supportAdvancedDrill="1" xr:uid="{F82E101D-1177-430D-9324-78DF56962FA8}">
  <cacheSource type="external" connectionId="6"/>
  <cacheFields count="5">
    <cacheField name="[Dim_Department].[Department Name].[Department Name]" caption="Department Name" numFmtId="0" hierarchy="9" level="1">
      <sharedItems count="4">
        <s v="Admin"/>
        <s v="IT"/>
        <s v="Production"/>
        <s v="Supply Chain"/>
      </sharedItems>
    </cacheField>
    <cacheField name="[Measures].[Total Spend]" caption="Total Spend" numFmtId="0" hierarchy="40" level="32767"/>
    <cacheField name="[Dim_Calendar].[Month Number].[Month Number]" caption="Month Number" numFmtId="0" hierarchy="3"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Calendar].[Month Number].&amp;[1]"/>
            <x15:cachedUniqueName index="1" name="[Dim_Calendar].[Month Number].&amp;[2]"/>
            <x15:cachedUniqueName index="2" name="[Dim_Calendar].[Month Number].&amp;[3]"/>
            <x15:cachedUniqueName index="3" name="[Dim_Calendar].[Month Number].&amp;[4]"/>
            <x15:cachedUniqueName index="4" name="[Dim_Calendar].[Month Number].&amp;[5]"/>
            <x15:cachedUniqueName index="5" name="[Dim_Calendar].[Month Number].&amp;[6]"/>
            <x15:cachedUniqueName index="6" name="[Dim_Calendar].[Month Number].&amp;[7]"/>
            <x15:cachedUniqueName index="7" name="[Dim_Calendar].[Month Number].&amp;[8]"/>
            <x15:cachedUniqueName index="8" name="[Dim_Calendar].[Month Number].&amp;[9]"/>
            <x15:cachedUniqueName index="9" name="[Dim_Calendar].[Month Number].&amp;[10]"/>
            <x15:cachedUniqueName index="10" name="[Dim_Calendar].[Month Number].&amp;[11]"/>
            <x15:cachedUniqueName index="11" name="[Dim_Calendar].[Month Number].&amp;[12]"/>
          </x15:cachedUniqueNames>
        </ext>
      </extLst>
    </cacheField>
    <cacheField name="[Dim_Calendar].[Month Name].[Month Name]" caption="Month Name" numFmtId="0" hierarchy="4" level="1">
      <sharedItems count="12">
        <s v="January"/>
        <s v="February"/>
        <s v="March"/>
        <s v="April"/>
        <s v="May"/>
        <s v="June"/>
        <s v="July"/>
        <s v="August"/>
        <s v="September"/>
        <s v="October"/>
        <s v="November"/>
        <s v="December"/>
      </sharedItems>
    </cacheField>
    <cacheField name="[Dim_Calendar].[Quarter].[Quarter]" caption="Quarter" numFmtId="0" hierarchy="2" level="1">
      <sharedItems containsSemiMixedTypes="0" containsNonDate="0" containsString="0"/>
    </cacheField>
  </cacheFields>
  <cacheHierarchies count="51">
    <cacheHierarchy uniqueName="[Dim_Calendar].[Date]" caption="Date" attribute="1" time="1" defaultMemberUniqueName="[Dim_Calendar].[Date].[All]" allUniqueName="[Dim_Calendar].[Date].[All]" dimensionUniqueName="[Dim_Calendar]" displayFolder="" count="2" memberValueDatatype="7" unbalanced="0"/>
    <cacheHierarchy uniqueName="[Dim_Calendar].[Year]" caption="Year" attribute="1" defaultMemberUniqueName="[Dim_Calendar].[Year].[All]" allUniqueName="[Dim_Calendar].[Year].[All]" dimensionUniqueName="[Dim_Calendar]" displayFolder="" count="2" memberValueDatatype="20" unbalanced="0"/>
    <cacheHierarchy uniqueName="[Dim_Calendar].[Quarter]" caption="Quarter" attribute="1" defaultMemberUniqueName="[Dim_Calendar].[Quarter].[All]" allUniqueName="[Dim_Calendar].[Quarter].[All]" dimensionUniqueName="[Dim_Calendar]" displayFolder="" count="2" memberValueDatatype="20" unbalanced="0">
      <fieldsUsage count="2">
        <fieldUsage x="-1"/>
        <fieldUsage x="4"/>
      </fieldsUsage>
    </cacheHierarchy>
    <cacheHierarchy uniqueName="[Dim_Calendar].[Month Number]" caption="Month Number" attribute="1" defaultMemberUniqueName="[Dim_Calendar].[Month Number].[All]" allUniqueName="[Dim_Calendar].[Month Number].[All]" dimensionUniqueName="[Dim_Calendar]" displayFolder="" count="2" memberValueDatatype="20" unbalanced="0">
      <fieldsUsage count="2">
        <fieldUsage x="-1"/>
        <fieldUsage x="2"/>
      </fieldsUsage>
    </cacheHierarchy>
    <cacheHierarchy uniqueName="[Dim_Calendar].[Month Name]" caption="Month Name" attribute="1" defaultMemberUniqueName="[Dim_Calendar].[Month Name].[All]" allUniqueName="[Dim_Calendar].[Month Name].[All]" dimensionUniqueName="[Dim_Calendar]" displayFolder="" count="2" memberValueDatatype="130" unbalanced="0">
      <fieldsUsage count="2">
        <fieldUsage x="-1"/>
        <fieldUsage x="3"/>
      </fieldsUsage>
    </cacheHierarchy>
    <cacheHierarchy uniqueName="[Dim_Calendar].[Week Number]" caption="Week Number" attribute="1" defaultMemberUniqueName="[Dim_Calendar].[Week Number].[All]" allUniqueName="[Dim_Calendar].[Week Number].[All]" dimensionUniqueName="[Dim_Calendar]" displayFolder="" count="2" memberValueDatatype="20" unbalanced="0"/>
    <cacheHierarchy uniqueName="[Dim_Calendar].[Day Name]" caption="Day Name" attribute="1" defaultMemberUniqueName="[Dim_Calendar].[Day Name].[All]" allUniqueName="[Dim_Calendar].[Day Name].[All]" dimensionUniqueName="[Dim_Calendar]" displayFolder="" count="2" memberValueDatatype="130" unbalanced="0"/>
    <cacheHierarchy uniqueName="[Dim_Calendar].[Is Weekend]" caption="Is Weekend" attribute="1" defaultMemberUniqueName="[Dim_Calendar].[Is Weekend].[All]" allUniqueName="[Dim_Calendar].[Is Weekend].[All]" dimensionUniqueName="[Dim_Calendar]" displayFolder="" count="2" memberValueDatatype="130" unbalanced="0"/>
    <cacheHierarchy uniqueName="[Dim_Department].[Dept ID]" caption="Dept ID" attribute="1" defaultMemberUniqueName="[Dim_Department].[Dept ID].[All]" allUniqueName="[Dim_Department].[Dept ID].[All]" dimensionUniqueName="[Dim_Department]" displayFolder="" count="2" memberValueDatatype="130" unbalanced="0"/>
    <cacheHierarchy uniqueName="[Dim_Department].[Department Name]" caption="Department Name" attribute="1" defaultMemberUniqueName="[Dim_Department].[Department Name].[All]" allUniqueName="[Dim_Department].[Department Name].[All]" dimensionUniqueName="[Dim_Department]" displayFolder="" count="2" memberValueDatatype="130" unbalanced="0">
      <fieldsUsage count="2">
        <fieldUsage x="-1"/>
        <fieldUsage x="0"/>
      </fieldsUsage>
    </cacheHierarchy>
    <cacheHierarchy uniqueName="[Dim_Department].[Cost Center Code]" caption="Cost Center Code" attribute="1" defaultMemberUniqueName="[Dim_Department].[Cost Center Code].[All]" allUniqueName="[Dim_Department].[Cost Center Code].[All]" dimensionUniqueName="[Dim_Department]" displayFolder="" count="2" memberValueDatatype="130" unbalanced="0"/>
    <cacheHierarchy uniqueName="[Dim_Department].[Budget Owner]" caption="Budget Owner" attribute="1" defaultMemberUniqueName="[Dim_Department].[Budget Owner].[All]" allUniqueName="[Dim_Department].[Budget Owner].[All]" dimensionUniqueName="[Dim_Department]" displayFolder="" count="2" memberValueDatatype="130" unbalanced="0"/>
    <cacheHierarchy uniqueName="[Dim_Department].[Annual Budget (BDT)]" caption="Annual Budget (BDT)" attribute="1" defaultMemberUniqueName="[Dim_Department].[Annual Budget (BDT)].[All]" allUniqueName="[Dim_Department].[Annual Budget (BDT)].[All]" dimensionUniqueName="[Dim_Department]" displayFolder="" count="2" memberValueDatatype="20" unbalanced="0"/>
    <cacheHierarchy uniqueName="[Dim_Item].[Item ID]" caption="Item ID" attribute="1" defaultMemberUniqueName="[Dim_Item].[Item ID].[All]" allUniqueName="[Dim_Item].[Item ID].[All]" dimensionUniqueName="[Dim_Item]" displayFolder="" count="2" memberValueDatatype="130" unbalanced="0"/>
    <cacheHierarchy uniqueName="[Dim_Item].[Item Name]" caption="Item Name" attribute="1" defaultMemberUniqueName="[Dim_Item].[Item Name].[All]" allUniqueName="[Dim_Item].[Item Name].[All]" dimensionUniqueName="[Dim_Item]" displayFolder="" count="2" memberValueDatatype="130" unbalanced="0"/>
    <cacheHierarchy uniqueName="[Dim_Item].[Category]" caption="Category" attribute="1" defaultMemberUniqueName="[Dim_Item].[Category].[All]" allUniqueName="[Dim_Item].[Category].[All]" dimensionUniqueName="[Dim_Item]" displayFolder="" count="2" memberValueDatatype="130" unbalanced="0"/>
    <cacheHierarchy uniqueName="[Dim_Item].[Sub-Category]" caption="Sub-Category" attribute="1" defaultMemberUniqueName="[Dim_Item].[Sub-Category].[All]" allUniqueName="[Dim_Item].[Sub-Category].[All]" dimensionUniqueName="[Dim_Item]" displayFolder="" count="2" memberValueDatatype="130" unbalanced="0"/>
    <cacheHierarchy uniqueName="[Dim_Item].[UOM]" caption="UOM" attribute="1" defaultMemberUniqueName="[Dim_Item].[UOM].[All]" allUniqueName="[Dim_Item].[UOM].[All]" dimensionUniqueName="[Dim_Item]" displayFolder="" count="2" memberValueDatatype="130" unbalanced="0"/>
    <cacheHierarchy uniqueName="[Dim_Item].[Standard Unit Price]" caption="Standard Unit Price" attribute="1" defaultMemberUniqueName="[Dim_Item].[Standard Unit Price].[All]" allUniqueName="[Dim_Item].[Standard Unit Price].[All]" dimensionUniqueName="[Dim_Item]" displayFolder="" count="2" memberValueDatatype="20" unbalanced="0"/>
    <cacheHierarchy uniqueName="[Dim_Vendor].[Vendor ID]" caption="Vendor ID" attribute="1" defaultMemberUniqueName="[Dim_Vendor].[Vendor ID].[All]" allUniqueName="[Dim_Vendor].[Vendor ID].[All]" dimensionUniqueName="[Dim_Vendor]" displayFolder="" count="2" memberValueDatatype="130" unbalanced="0"/>
    <cacheHierarchy uniqueName="[Dim_Vendor].[Vendor Name]" caption="Vendor Name" attribute="1" defaultMemberUniqueName="[Dim_Vendor].[Vendor Name].[All]" allUniqueName="[Dim_Vendor].[Vendor Name].[All]" dimensionUniqueName="[Dim_Vendor]" displayFolder="" count="2" memberValueDatatype="130" unbalanced="0"/>
    <cacheHierarchy uniqueName="[Dim_Vendor].[Category]" caption="Category" attribute="1" defaultMemberUniqueName="[Dim_Vendor].[Category].[All]" allUniqueName="[Dim_Vendor].[Category].[All]" dimensionUniqueName="[Dim_Vendor]" displayFolder="" count="2" memberValueDatatype="130" unbalanced="0"/>
    <cacheHierarchy uniqueName="[Dim_Vendor].[Region]" caption="Region" attribute="1" defaultMemberUniqueName="[Dim_Vendor].[Region].[All]" allUniqueName="[Dim_Vendor].[Region].[All]" dimensionUniqueName="[Dim_Vendor]" displayFolder="" count="2" memberValueDatatype="130" unbalanced="0"/>
    <cacheHierarchy uniqueName="[Dim_Vendor].[Segment (Strategic/Leverage/Bottleneck/Tail)]" caption="Segment (Strategic/Leverage/Bottleneck/Tail)" attribute="1" defaultMemberUniqueName="[Dim_Vendor].[Segment (Strategic/Leverage/Bottleneck/Tail)].[All]" allUniqueName="[Dim_Vendor].[Segment (Strategic/Leverage/Bottleneck/Tail)].[All]" dimensionUniqueName="[Dim_Vendor]" displayFolder="" count="2" memberValueDatatype="130" unbalanced="0"/>
    <cacheHierarchy uniqueName="[Dim_Vendor].[Contract Start]" caption="Contract Start" attribute="1" time="1" defaultMemberUniqueName="[Dim_Vendor].[Contract Start].[All]" allUniqueName="[Dim_Vendor].[Contract Start].[All]" dimensionUniqueName="[Dim_Vendor]" displayFolder="" count="2" memberValueDatatype="7" unbalanced="0"/>
    <cacheHierarchy uniqueName="[Dim_Vendor].[Contract End]" caption="Contract End" attribute="1" time="1" defaultMemberUniqueName="[Dim_Vendor].[Contract End].[All]" allUniqueName="[Dim_Vendor].[Contract End].[All]" dimensionUniqueName="[Dim_Vendor]" displayFolder="" count="2" memberValueDatatype="7" unbalanced="0"/>
    <cacheHierarchy uniqueName="[Dim_Vendor].[Payment Terms (Days)]" caption="Payment Terms (Days)" attribute="1" defaultMemberUniqueName="[Dim_Vendor].[Payment Terms (Days)].[All]" allUniqueName="[Dim_Vendor].[Payment Terms (Days)].[All]" dimensionUniqueName="[Dim_Vendor]" displayFolder="" count="2" memberValueDatatype="20" unbalanced="0"/>
    <cacheHierarchy uniqueName="[Dim_Vendor].[Approved (Y/N)]" caption="Approved (Y/N)" attribute="1" defaultMemberUniqueName="[Dim_Vendor].[Approved (Y/N)].[All]" allUniqueName="[Dim_Vendor].[Approved (Y/N)].[All]" dimensionUniqueName="[Dim_Vendor]" displayFolder="" count="2" memberValueDatatype="130" unbalanced="0"/>
    <cacheHierarchy uniqueName="[PO_Fact].[PO ID]" caption="PO ID" attribute="1" defaultMemberUniqueName="[PO_Fact].[PO ID].[All]" allUniqueName="[PO_Fact].[PO ID].[All]" dimensionUniqueName="[PO_Fact]" displayFolder="" count="2" memberValueDatatype="130" unbalanced="0"/>
    <cacheHierarchy uniqueName="[PO_Fact].[PO Line]" caption="PO Line" attribute="1" defaultMemberUniqueName="[PO_Fact].[PO Line].[All]" allUniqueName="[PO_Fact].[PO Line].[All]" dimensionUniqueName="[PO_Fact]" displayFolder="" count="2" memberValueDatatype="20" unbalanced="0"/>
    <cacheHierarchy uniqueName="[PO_Fact].[Order Date]" caption="Order Date" attribute="1" time="1" defaultMemberUniqueName="[PO_Fact].[Order Date].[All]" allUniqueName="[PO_Fact].[Order Date].[All]" dimensionUniqueName="[PO_Fact]" displayFolder="" count="2" memberValueDatatype="7" unbalanced="0"/>
    <cacheHierarchy uniqueName="[PO_Fact].[Vendor ID]" caption="Vendor ID" attribute="1" defaultMemberUniqueName="[PO_Fact].[Vendor ID].[All]" allUniqueName="[PO_Fact].[Vendor ID].[All]" dimensionUniqueName="[PO_Fact]" displayFolder="" count="2" memberValueDatatype="130" unbalanced="0"/>
    <cacheHierarchy uniqueName="[PO_Fact].[Item ID]" caption="Item ID" attribute="1" defaultMemberUniqueName="[PO_Fact].[Item ID].[All]" allUniqueName="[PO_Fact].[Item ID].[All]" dimensionUniqueName="[PO_Fact]" displayFolder="" count="2" memberValueDatatype="130" unbalanced="0"/>
    <cacheHierarchy uniqueName="[PO_Fact].[Dept ID]" caption="Dept ID" attribute="1" defaultMemberUniqueName="[PO_Fact].[Dept ID].[All]" allUniqueName="[PO_Fact].[Dept ID].[All]" dimensionUniqueName="[PO_Fact]" displayFolder="" count="2" memberValueDatatype="130" unbalanced="0"/>
    <cacheHierarchy uniqueName="[PO_Fact].[Quantity]" caption="Quantity" attribute="1" defaultMemberUniqueName="[PO_Fact].[Quantity].[All]" allUniqueName="[PO_Fact].[Quantity].[All]" dimensionUniqueName="[PO_Fact]" displayFolder="" count="2" memberValueDatatype="20" unbalanced="0"/>
    <cacheHierarchy uniqueName="[PO_Fact].[Unit Price (BDT)]" caption="Unit Price (BDT)" attribute="1" defaultMemberUniqueName="[PO_Fact].[Unit Price (BDT)].[All]" allUniqueName="[PO_Fact].[Unit Price (BDT)].[All]" dimensionUniqueName="[PO_Fact]" displayFolder="" count="2" memberValueDatatype="5" unbalanced="0"/>
    <cacheHierarchy uniqueName="[PO_Fact].[Line Amount (BDT)]" caption="Line Amount (BDT)" attribute="1" defaultMemberUniqueName="[PO_Fact].[Line Amount (BDT)].[All]" allUniqueName="[PO_Fact].[Line Amount (BDT)].[All]" dimensionUniqueName="[PO_Fact]" displayFolder="" count="2" memberValueDatatype="5" unbalanced="0"/>
    <cacheHierarchy uniqueName="[PO_Fact].[Contract Status]" caption="Contract Status" attribute="1" defaultMemberUniqueName="[PO_Fact].[Contract Status].[All]" allUniqueName="[PO_Fact].[Contract Status].[All]" dimensionUniqueName="[PO_Fact]" displayFolder="" count="2" memberValueDatatype="130" unbalanced="0"/>
    <cacheHierarchy uniqueName="[PO_Fact].[GRN Received (Y/N)]" caption="GRN Received (Y/N)" attribute="1" defaultMemberUniqueName="[PO_Fact].[GRN Received (Y/N)].[All]" allUniqueName="[PO_Fact].[GRN Received (Y/N)].[All]" dimensionUniqueName="[PO_Fact]" displayFolder="" count="2" memberValueDatatype="130" unbalanced="0"/>
    <cacheHierarchy uniqueName="[PO_Fact].[Invoice Status]" caption="Invoice Status" attribute="1" defaultMemberUniqueName="[PO_Fact].[Invoice Status].[All]" allUniqueName="[PO_Fact].[Invoice Status].[All]" dimensionUniqueName="[PO_Fact]" displayFolder="" count="2" memberValueDatatype="130" unbalanced="0"/>
    <cacheHierarchy uniqueName="[Measures].[Total Spend]" caption="Total Spend" measure="1" displayFolder="" measureGroup="Dim_Calendar" count="0" oneField="1">
      <fieldsUsage count="1">
        <fieldUsage x="1"/>
      </fieldsUsage>
    </cacheHierarchy>
    <cacheHierarchy uniqueName="[Measures].[Total Order]" caption="Total Order" measure="1" displayFolder="" measureGroup="Dim_Calendar" count="0"/>
    <cacheHierarchy uniqueName="[Measures].[Total Order QTY]" caption="Total Order QTY" measure="1" displayFolder="" measureGroup="Dim_Calendar" count="0"/>
    <cacheHierarchy uniqueName="[Measures].[Avg. Order QTY]" caption="Avg. Order QTY" measure="1" displayFolder="" measureGroup="Dim_Calendar" count="0"/>
    <cacheHierarchy uniqueName="[Measures].[Per Order Vlue]" caption="Per Order Vlue" measure="1" displayFolder="" measureGroup="Dim_Calendar" count="0"/>
    <cacheHierarchy uniqueName="[Measures].[__XL_Count Dim_Calendar]" caption="__XL_Count Dim_Calendar" measure="1" displayFolder="" measureGroup="Dim_Calendar" count="0" hidden="1"/>
    <cacheHierarchy uniqueName="[Measures].[__XL_Count Dim_Department]" caption="__XL_Count Dim_Department" measure="1" displayFolder="" measureGroup="Dim_Department" count="0" hidden="1"/>
    <cacheHierarchy uniqueName="[Measures].[__XL_Count Dim_Item]" caption="__XL_Count Dim_Item" measure="1" displayFolder="" measureGroup="Dim_Item" count="0" hidden="1"/>
    <cacheHierarchy uniqueName="[Measures].[__XL_Count Dim_Vendor]" caption="__XL_Count Dim_Vendor" measure="1" displayFolder="" measureGroup="Dim_Vendor" count="0" hidden="1"/>
    <cacheHierarchy uniqueName="[Measures].[__XL_Count PO_Fact]" caption="__XL_Count PO_Fact" measure="1" displayFolder="" measureGroup="PO_Fact" count="0" hidden="1"/>
    <cacheHierarchy uniqueName="[Measures].[__No measures defined]" caption="__No measures defined" measure="1" displayFolder="" count="0" hidden="1"/>
  </cacheHierarchies>
  <kpis count="0"/>
  <dimensions count="6">
    <dimension name="Dim_Calendar" uniqueName="[Dim_Calendar]" caption="Dim_Calendar"/>
    <dimension name="Dim_Department" uniqueName="[Dim_Department]" caption="Dim_Department"/>
    <dimension name="Dim_Item" uniqueName="[Dim_Item]" caption="Dim_Item"/>
    <dimension name="Dim_Vendor" uniqueName="[Dim_Vendor]" caption="Dim_Vendor"/>
    <dimension measure="1" name="Measures" uniqueName="[Measures]" caption="Measures"/>
    <dimension name="PO_Fact" uniqueName="[PO_Fact]" caption="PO_Fact"/>
  </dimensions>
  <measureGroups count="5">
    <measureGroup name="Dim_Calendar" caption="Dim_Calendar"/>
    <measureGroup name="Dim_Department" caption="Dim_Department"/>
    <measureGroup name="Dim_Item" caption="Dim_Item"/>
    <measureGroup name="Dim_Vendor" caption="Dim_Vendor"/>
    <measureGroup name="PO_Fact" caption="PO_Fact"/>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Click" refreshedDate="46217.939637384261" createdVersion="5" refreshedVersion="8" minRefreshableVersion="3" recordCount="0" supportSubquery="1" supportAdvancedDrill="1" xr:uid="{1009419B-0047-4F63-8A94-19D3A4274622}">
  <cacheSource type="external" connectionId="6"/>
  <cacheFields count="6">
    <cacheField name="[Measures].[Total Spend]" caption="Total Spend" numFmtId="0" hierarchy="40" level="32767"/>
    <cacheField name="[Measures].[Total Order]" caption="Total Order" numFmtId="0" hierarchy="41" level="32767"/>
    <cacheField name="[Measures].[Total Order QTY]" caption="Total Order QTY" numFmtId="0" hierarchy="42" level="32767"/>
    <cacheField name="[Measures].[Avg. Order QTY]" caption="Avg. Order QTY" numFmtId="0" hierarchy="43" level="32767"/>
    <cacheField name="[Measures].[Per Order Vlue]" caption="Per Order Vlue" numFmtId="0" hierarchy="44" level="32767"/>
    <cacheField name="[Dim_Calendar].[Quarter].[Quarter]" caption="Quarter" numFmtId="0" hierarchy="2" level="1">
      <sharedItems containsSemiMixedTypes="0" containsNonDate="0" containsString="0"/>
    </cacheField>
  </cacheFields>
  <cacheHierarchies count="51">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2" memberValueDatatype="20" unbalanced="0"/>
    <cacheHierarchy uniqueName="[Dim_Calendar].[Quarter]" caption="Quarter" attribute="1" defaultMemberUniqueName="[Dim_Calendar].[Quarter].[All]" allUniqueName="[Dim_Calendar].[Quarter].[All]" dimensionUniqueName="[Dim_Calendar]" displayFolder="" count="2" memberValueDatatype="20" unbalanced="0">
      <fieldsUsage count="2">
        <fieldUsage x="-1"/>
        <fieldUsage x="5"/>
      </fieldsUsage>
    </cacheHierarchy>
    <cacheHierarchy uniqueName="[Dim_Calendar].[Month Number]" caption="Month Number" attribute="1" defaultMemberUniqueName="[Dim_Calendar].[Month Number].[All]" allUniqueName="[Dim_Calendar].[Month Number].[All]" dimensionUniqueName="[Dim_Calendar]" displayFolder="" count="0" memberValueDatatype="20" unbalanced="0"/>
    <cacheHierarchy uniqueName="[Dim_Calendar].[Month Name]" caption="Month Name" attribute="1" defaultMemberUniqueName="[Dim_Calendar].[Month Name].[All]" allUniqueName="[Dim_Calendar].[Month Name].[All]" dimensionUniqueName="[Dim_Calendar]" displayFolder="" count="0" memberValueDatatype="130" unbalanced="0"/>
    <cacheHierarchy uniqueName="[Dim_Calendar].[Week Number]" caption="Week Number" attribute="1" defaultMemberUniqueName="[Dim_Calendar].[Week Number].[All]" allUniqueName="[Dim_Calendar].[Week Number].[All]" dimensionUniqueName="[Dim_Calendar]" displayFolder="" count="0" memberValueDatatype="20"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Is Weekend]" caption="Is Weekend" attribute="1" defaultMemberUniqueName="[Dim_Calendar].[Is Weekend].[All]" allUniqueName="[Dim_Calendar].[Is Weekend].[All]" dimensionUniqueName="[Dim_Calendar]" displayFolder="" count="0" memberValueDatatype="130" unbalanced="0"/>
    <cacheHierarchy uniqueName="[Dim_Department].[Dept ID]" caption="Dept ID" attribute="1" defaultMemberUniqueName="[Dim_Department].[Dept ID].[All]" allUniqueName="[Dim_Department].[Dept ID].[All]" dimensionUniqueName="[Dim_Department]" displayFolder="" count="0" memberValueDatatype="130" unbalanced="0"/>
    <cacheHierarchy uniqueName="[Dim_Department].[Department Name]" caption="Department Name" attribute="1" defaultMemberUniqueName="[Dim_Department].[Department Name].[All]" allUniqueName="[Dim_Department].[Department Name].[All]" dimensionUniqueName="[Dim_Department]" displayFolder="" count="0" memberValueDatatype="130" unbalanced="0"/>
    <cacheHierarchy uniqueName="[Dim_Department].[Cost Center Code]" caption="Cost Center Code" attribute="1" defaultMemberUniqueName="[Dim_Department].[Cost Center Code].[All]" allUniqueName="[Dim_Department].[Cost Center Code].[All]" dimensionUniqueName="[Dim_Department]" displayFolder="" count="0" memberValueDatatype="130" unbalanced="0"/>
    <cacheHierarchy uniqueName="[Dim_Department].[Budget Owner]" caption="Budget Owner" attribute="1" defaultMemberUniqueName="[Dim_Department].[Budget Owner].[All]" allUniqueName="[Dim_Department].[Budget Owner].[All]" dimensionUniqueName="[Dim_Department]" displayFolder="" count="0" memberValueDatatype="130" unbalanced="0"/>
    <cacheHierarchy uniqueName="[Dim_Department].[Annual Budget (BDT)]" caption="Annual Budget (BDT)" attribute="1" defaultMemberUniqueName="[Dim_Department].[Annual Budget (BDT)].[All]" allUniqueName="[Dim_Department].[Annual Budget (BDT)].[All]" dimensionUniqueName="[Dim_Department]" displayFolder="" count="0" memberValueDatatype="20" unbalanced="0"/>
    <cacheHierarchy uniqueName="[Dim_Item].[Item ID]" caption="Item ID" attribute="1" defaultMemberUniqueName="[Dim_Item].[Item ID].[All]" allUniqueName="[Dim_Item].[Item ID].[All]" dimensionUniqueName="[Dim_Item]" displayFolder="" count="0" memberValueDatatype="130" unbalanced="0"/>
    <cacheHierarchy uniqueName="[Dim_Item].[Item Name]" caption="Item Name" attribute="1" defaultMemberUniqueName="[Dim_Item].[Item Name].[All]" allUniqueName="[Dim_Item].[Item Name].[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ub-Category]" caption="Sub-Category" attribute="1" defaultMemberUniqueName="[Dim_Item].[Sub-Category].[All]" allUniqueName="[Dim_Item].[Sub-Category].[All]" dimensionUniqueName="[Dim_Item]" displayFolder="" count="0" memberValueDatatype="130" unbalanced="0"/>
    <cacheHierarchy uniqueName="[Dim_Item].[UOM]" caption="UOM" attribute="1" defaultMemberUniqueName="[Dim_Item].[UOM].[All]" allUniqueName="[Dim_Item].[UOM].[All]" dimensionUniqueName="[Dim_Item]" displayFolder="" count="0" memberValueDatatype="130" unbalanced="0"/>
    <cacheHierarchy uniqueName="[Dim_Item].[Standard Unit Price]" caption="Standard Unit Price" attribute="1" defaultMemberUniqueName="[Dim_Item].[Standard Unit Price].[All]" allUniqueName="[Dim_Item].[Standard Unit Price].[All]" dimensionUniqueName="[Dim_Item]" displayFolder="" count="0" memberValueDatatype="20" unbalanced="0"/>
    <cacheHierarchy uniqueName="[Dim_Vendor].[Vendor ID]" caption="Vendor ID" attribute="1" defaultMemberUniqueName="[Dim_Vendor].[Vendor ID].[All]" allUniqueName="[Dim_Vendor].[Vendor ID].[All]" dimensionUniqueName="[Dim_Vendor]" displayFolder="" count="0" memberValueDatatype="130" unbalanced="0"/>
    <cacheHierarchy uniqueName="[Dim_Vendor].[Vendor Name]" caption="Vendor Name" attribute="1" defaultMemberUniqueName="[Dim_Vendor].[Vendor Name].[All]" allUniqueName="[Dim_Vendor].[Vendor Name].[All]" dimensionUniqueName="[Dim_Vendor]" displayFolder="" count="2" memberValueDatatype="130" unbalanced="0"/>
    <cacheHierarchy uniqueName="[Dim_Vendor].[Category]" caption="Category" attribute="1" defaultMemberUniqueName="[Dim_Vendor].[Category].[All]" allUniqueName="[Dim_Vendor].[Category].[All]" dimensionUniqueName="[Dim_Vendor]" displayFolder="" count="0" memberValueDatatype="130" unbalanced="0"/>
    <cacheHierarchy uniqueName="[Dim_Vendor].[Region]" caption="Region" attribute="1" defaultMemberUniqueName="[Dim_Vendor].[Region].[All]" allUniqueName="[Dim_Vendor].[Region].[All]" dimensionUniqueName="[Dim_Vendor]" displayFolder="" count="2" memberValueDatatype="130" unbalanced="0"/>
    <cacheHierarchy uniqueName="[Dim_Vendor].[Segment (Strategic/Leverage/Bottleneck/Tail)]" caption="Segment (Strategic/Leverage/Bottleneck/Tail)" attribute="1" defaultMemberUniqueName="[Dim_Vendor].[Segment (Strategic/Leverage/Bottleneck/Tail)].[All]" allUniqueName="[Dim_Vendor].[Segment (Strategic/Leverage/Bottleneck/Tail)].[All]" dimensionUniqueName="[Dim_Vendor]" displayFolder="" count="0" memberValueDatatype="130" unbalanced="0"/>
    <cacheHierarchy uniqueName="[Dim_Vendor].[Contract Start]" caption="Contract Start" attribute="1" time="1" defaultMemberUniqueName="[Dim_Vendor].[Contract Start].[All]" allUniqueName="[Dim_Vendor].[Contract Start].[All]" dimensionUniqueName="[Dim_Vendor]" displayFolder="" count="0" memberValueDatatype="7" unbalanced="0"/>
    <cacheHierarchy uniqueName="[Dim_Vendor].[Contract End]" caption="Contract End" attribute="1" time="1" defaultMemberUniqueName="[Dim_Vendor].[Contract End].[All]" allUniqueName="[Dim_Vendor].[Contract End].[All]" dimensionUniqueName="[Dim_Vendor]" displayFolder="" count="0" memberValueDatatype="7" unbalanced="0"/>
    <cacheHierarchy uniqueName="[Dim_Vendor].[Payment Terms (Days)]" caption="Payment Terms (Days)" attribute="1" defaultMemberUniqueName="[Dim_Vendor].[Payment Terms (Days)].[All]" allUniqueName="[Dim_Vendor].[Payment Terms (Days)].[All]" dimensionUniqueName="[Dim_Vendor]" displayFolder="" count="0" memberValueDatatype="20" unbalanced="0"/>
    <cacheHierarchy uniqueName="[Dim_Vendor].[Approved (Y/N)]" caption="Approved (Y/N)" attribute="1" defaultMemberUniqueName="[Dim_Vendor].[Approved (Y/N)].[All]" allUniqueName="[Dim_Vendor].[Approved (Y/N)].[All]" dimensionUniqueName="[Dim_Vendor]" displayFolder="" count="0" memberValueDatatype="130" unbalanced="0"/>
    <cacheHierarchy uniqueName="[PO_Fact].[PO ID]" caption="PO ID" attribute="1" defaultMemberUniqueName="[PO_Fact].[PO ID].[All]" allUniqueName="[PO_Fact].[PO ID].[All]" dimensionUniqueName="[PO_Fact]" displayFolder="" count="0" memberValueDatatype="130" unbalanced="0"/>
    <cacheHierarchy uniqueName="[PO_Fact].[PO Line]" caption="PO Line" attribute="1" defaultMemberUniqueName="[PO_Fact].[PO Line].[All]" allUniqueName="[PO_Fact].[PO Line].[All]" dimensionUniqueName="[PO_Fact]" displayFolder="" count="0" memberValueDatatype="20" unbalanced="0"/>
    <cacheHierarchy uniqueName="[PO_Fact].[Order Date]" caption="Order Date" attribute="1" time="1" defaultMemberUniqueName="[PO_Fact].[Order Date].[All]" allUniqueName="[PO_Fact].[Order Date].[All]" dimensionUniqueName="[PO_Fact]" displayFolder="" count="0" memberValueDatatype="7" unbalanced="0"/>
    <cacheHierarchy uniqueName="[PO_Fact].[Vendor ID]" caption="Vendor ID" attribute="1" defaultMemberUniqueName="[PO_Fact].[Vendor ID].[All]" allUniqueName="[PO_Fact].[Vendor ID].[All]" dimensionUniqueName="[PO_Fact]" displayFolder="" count="0" memberValueDatatype="130" unbalanced="0"/>
    <cacheHierarchy uniqueName="[PO_Fact].[Item ID]" caption="Item ID" attribute="1" defaultMemberUniqueName="[PO_Fact].[Item ID].[All]" allUniqueName="[PO_Fact].[Item ID].[All]" dimensionUniqueName="[PO_Fact]" displayFolder="" count="0" memberValueDatatype="130" unbalanced="0"/>
    <cacheHierarchy uniqueName="[PO_Fact].[Dept ID]" caption="Dept ID" attribute="1" defaultMemberUniqueName="[PO_Fact].[Dept ID].[All]" allUniqueName="[PO_Fact].[Dept ID].[All]" dimensionUniqueName="[PO_Fact]" displayFolder="" count="0" memberValueDatatype="130" unbalanced="0"/>
    <cacheHierarchy uniqueName="[PO_Fact].[Quantity]" caption="Quantity" attribute="1" defaultMemberUniqueName="[PO_Fact].[Quantity].[All]" allUniqueName="[PO_Fact].[Quantity].[All]" dimensionUniqueName="[PO_Fact]" displayFolder="" count="0" memberValueDatatype="20" unbalanced="0"/>
    <cacheHierarchy uniqueName="[PO_Fact].[Unit Price (BDT)]" caption="Unit Price (BDT)" attribute="1" defaultMemberUniqueName="[PO_Fact].[Unit Price (BDT)].[All]" allUniqueName="[PO_Fact].[Unit Price (BDT)].[All]" dimensionUniqueName="[PO_Fact]" displayFolder="" count="0" memberValueDatatype="5" unbalanced="0"/>
    <cacheHierarchy uniqueName="[PO_Fact].[Line Amount (BDT)]" caption="Line Amount (BDT)" attribute="1" defaultMemberUniqueName="[PO_Fact].[Line Amount (BDT)].[All]" allUniqueName="[PO_Fact].[Line Amount (BDT)].[All]" dimensionUniqueName="[PO_Fact]" displayFolder="" count="0" memberValueDatatype="5" unbalanced="0"/>
    <cacheHierarchy uniqueName="[PO_Fact].[Contract Status]" caption="Contract Status" attribute="1" defaultMemberUniqueName="[PO_Fact].[Contract Status].[All]" allUniqueName="[PO_Fact].[Contract Status].[All]" dimensionUniqueName="[PO_Fact]" displayFolder="" count="0" memberValueDatatype="130" unbalanced="0"/>
    <cacheHierarchy uniqueName="[PO_Fact].[GRN Received (Y/N)]" caption="GRN Received (Y/N)" attribute="1" defaultMemberUniqueName="[PO_Fact].[GRN Received (Y/N)].[All]" allUniqueName="[PO_Fact].[GRN Received (Y/N)].[All]" dimensionUniqueName="[PO_Fact]" displayFolder="" count="0" memberValueDatatype="130" unbalanced="0"/>
    <cacheHierarchy uniqueName="[PO_Fact].[Invoice Status]" caption="Invoice Status" attribute="1" defaultMemberUniqueName="[PO_Fact].[Invoice Status].[All]" allUniqueName="[PO_Fact].[Invoice Status].[All]" dimensionUniqueName="[PO_Fact]" displayFolder="" count="0" memberValueDatatype="130" unbalanced="0"/>
    <cacheHierarchy uniqueName="[Measures].[Total Spend]" caption="Total Spend" measure="1" displayFolder="" measureGroup="Dim_Calendar" count="0" oneField="1">
      <fieldsUsage count="1">
        <fieldUsage x="0"/>
      </fieldsUsage>
    </cacheHierarchy>
    <cacheHierarchy uniqueName="[Measures].[Total Order]" caption="Total Order" measure="1" displayFolder="" measureGroup="Dim_Calendar" count="0" oneField="1">
      <fieldsUsage count="1">
        <fieldUsage x="1"/>
      </fieldsUsage>
    </cacheHierarchy>
    <cacheHierarchy uniqueName="[Measures].[Total Order QTY]" caption="Total Order QTY" measure="1" displayFolder="" measureGroup="Dim_Calendar" count="0" oneField="1">
      <fieldsUsage count="1">
        <fieldUsage x="2"/>
      </fieldsUsage>
    </cacheHierarchy>
    <cacheHierarchy uniqueName="[Measures].[Avg. Order QTY]" caption="Avg. Order QTY" measure="1" displayFolder="" measureGroup="Dim_Calendar" count="0" oneField="1">
      <fieldsUsage count="1">
        <fieldUsage x="3"/>
      </fieldsUsage>
    </cacheHierarchy>
    <cacheHierarchy uniqueName="[Measures].[Per Order Vlue]" caption="Per Order Vlue" measure="1" displayFolder="" measureGroup="Dim_Calendar" count="0" oneField="1">
      <fieldsUsage count="1">
        <fieldUsage x="4"/>
      </fieldsUsage>
    </cacheHierarchy>
    <cacheHierarchy uniqueName="[Measures].[__XL_Count Dim_Calendar]" caption="__XL_Count Dim_Calendar" measure="1" displayFolder="" measureGroup="Dim_Calendar" count="0" hidden="1"/>
    <cacheHierarchy uniqueName="[Measures].[__XL_Count Dim_Department]" caption="__XL_Count Dim_Department" measure="1" displayFolder="" measureGroup="Dim_Department" count="0" hidden="1"/>
    <cacheHierarchy uniqueName="[Measures].[__XL_Count Dim_Item]" caption="__XL_Count Dim_Item" measure="1" displayFolder="" measureGroup="Dim_Item" count="0" hidden="1"/>
    <cacheHierarchy uniqueName="[Measures].[__XL_Count Dim_Vendor]" caption="__XL_Count Dim_Vendor" measure="1" displayFolder="" measureGroup="Dim_Vendor" count="0" hidden="1"/>
    <cacheHierarchy uniqueName="[Measures].[__XL_Count PO_Fact]" caption="__XL_Count PO_Fact" measure="1" displayFolder="" measureGroup="PO_Fact" count="0" hidden="1"/>
    <cacheHierarchy uniqueName="[Measures].[__No measures defined]" caption="__No measures defined" measure="1" displayFolder="" count="0" hidden="1"/>
  </cacheHierarchies>
  <kpis count="0"/>
  <dimensions count="6">
    <dimension name="Dim_Calendar" uniqueName="[Dim_Calendar]" caption="Dim_Calendar"/>
    <dimension name="Dim_Department" uniqueName="[Dim_Department]" caption="Dim_Department"/>
    <dimension name="Dim_Item" uniqueName="[Dim_Item]" caption="Dim_Item"/>
    <dimension name="Dim_Vendor" uniqueName="[Dim_Vendor]" caption="Dim_Vendor"/>
    <dimension measure="1" name="Measures" uniqueName="[Measures]" caption="Measures"/>
    <dimension name="PO_Fact" uniqueName="[PO_Fact]" caption="PO_Fact"/>
  </dimensions>
  <measureGroups count="5">
    <measureGroup name="Dim_Calendar" caption="Dim_Calendar"/>
    <measureGroup name="Dim_Department" caption="Dim_Department"/>
    <measureGroup name="Dim_Item" caption="Dim_Item"/>
    <measureGroup name="Dim_Vendor" caption="Dim_Vendor"/>
    <measureGroup name="PO_Fact" caption="PO_Fact"/>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Click" refreshedDate="46217.939637731484" createdVersion="5" refreshedVersion="8" minRefreshableVersion="3" recordCount="0" supportSubquery="1" supportAdvancedDrill="1" xr:uid="{23D97C60-A497-4239-BEAF-C0343F1A5D5E}">
  <cacheSource type="external" connectionId="6"/>
  <cacheFields count="3">
    <cacheField name="[Dim_Department].[Department Name].[Department Name]" caption="Department Name" numFmtId="0" hierarchy="9" level="1">
      <sharedItems count="4">
        <s v="Admin"/>
        <s v="IT"/>
        <s v="Production"/>
        <s v="Supply Chain"/>
      </sharedItems>
    </cacheField>
    <cacheField name="[Measures].[Total Spend]" caption="Total Spend" numFmtId="0" hierarchy="40" level="32767"/>
    <cacheField name="[Dim_Calendar].[Quarter].[Quarter]" caption="Quarter" numFmtId="0" hierarchy="2" level="1">
      <sharedItems containsSemiMixedTypes="0" containsNonDate="0" containsString="0"/>
    </cacheField>
  </cacheFields>
  <cacheHierarchies count="51">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2" memberValueDatatype="20" unbalanced="0"/>
    <cacheHierarchy uniqueName="[Dim_Calendar].[Quarter]" caption="Quarter" attribute="1" defaultMemberUniqueName="[Dim_Calendar].[Quarter].[All]" allUniqueName="[Dim_Calendar].[Quarter].[All]" dimensionUniqueName="[Dim_Calendar]" displayFolder="" count="2" memberValueDatatype="20" unbalanced="0">
      <fieldsUsage count="2">
        <fieldUsage x="-1"/>
        <fieldUsage x="2"/>
      </fieldsUsage>
    </cacheHierarchy>
    <cacheHierarchy uniqueName="[Dim_Calendar].[Month Number]" caption="Month Number" attribute="1" defaultMemberUniqueName="[Dim_Calendar].[Month Number].[All]" allUniqueName="[Dim_Calendar].[Month Number].[All]" dimensionUniqueName="[Dim_Calendar]" displayFolder="" count="0" memberValueDatatype="20" unbalanced="0"/>
    <cacheHierarchy uniqueName="[Dim_Calendar].[Month Name]" caption="Month Name" attribute="1" defaultMemberUniqueName="[Dim_Calendar].[Month Name].[All]" allUniqueName="[Dim_Calendar].[Month Name].[All]" dimensionUniqueName="[Dim_Calendar]" displayFolder="" count="0" memberValueDatatype="130" unbalanced="0"/>
    <cacheHierarchy uniqueName="[Dim_Calendar].[Week Number]" caption="Week Number" attribute="1" defaultMemberUniqueName="[Dim_Calendar].[Week Number].[All]" allUniqueName="[Dim_Calendar].[Week Number].[All]" dimensionUniqueName="[Dim_Calendar]" displayFolder="" count="0" memberValueDatatype="20"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Is Weekend]" caption="Is Weekend" attribute="1" defaultMemberUniqueName="[Dim_Calendar].[Is Weekend].[All]" allUniqueName="[Dim_Calendar].[Is Weekend].[All]" dimensionUniqueName="[Dim_Calendar]" displayFolder="" count="0" memberValueDatatype="130" unbalanced="0"/>
    <cacheHierarchy uniqueName="[Dim_Department].[Dept ID]" caption="Dept ID" attribute="1" defaultMemberUniqueName="[Dim_Department].[Dept ID].[All]" allUniqueName="[Dim_Department].[Dept ID].[All]" dimensionUniqueName="[Dim_Department]" displayFolder="" count="0" memberValueDatatype="130" unbalanced="0"/>
    <cacheHierarchy uniqueName="[Dim_Department].[Department Name]" caption="Department Name" attribute="1" defaultMemberUniqueName="[Dim_Department].[Department Name].[All]" allUniqueName="[Dim_Department].[Department Name].[All]" dimensionUniqueName="[Dim_Department]" displayFolder="" count="2" memberValueDatatype="130" unbalanced="0">
      <fieldsUsage count="2">
        <fieldUsage x="-1"/>
        <fieldUsage x="0"/>
      </fieldsUsage>
    </cacheHierarchy>
    <cacheHierarchy uniqueName="[Dim_Department].[Cost Center Code]" caption="Cost Center Code" attribute="1" defaultMemberUniqueName="[Dim_Department].[Cost Center Code].[All]" allUniqueName="[Dim_Department].[Cost Center Code].[All]" dimensionUniqueName="[Dim_Department]" displayFolder="" count="0" memberValueDatatype="130" unbalanced="0"/>
    <cacheHierarchy uniqueName="[Dim_Department].[Budget Owner]" caption="Budget Owner" attribute="1" defaultMemberUniqueName="[Dim_Department].[Budget Owner].[All]" allUniqueName="[Dim_Department].[Budget Owner].[All]" dimensionUniqueName="[Dim_Department]" displayFolder="" count="0" memberValueDatatype="130" unbalanced="0"/>
    <cacheHierarchy uniqueName="[Dim_Department].[Annual Budget (BDT)]" caption="Annual Budget (BDT)" attribute="1" defaultMemberUniqueName="[Dim_Department].[Annual Budget (BDT)].[All]" allUniqueName="[Dim_Department].[Annual Budget (BDT)].[All]" dimensionUniqueName="[Dim_Department]" displayFolder="" count="0" memberValueDatatype="20" unbalanced="0"/>
    <cacheHierarchy uniqueName="[Dim_Item].[Item ID]" caption="Item ID" attribute="1" defaultMemberUniqueName="[Dim_Item].[Item ID].[All]" allUniqueName="[Dim_Item].[Item ID].[All]" dimensionUniqueName="[Dim_Item]" displayFolder="" count="0" memberValueDatatype="130" unbalanced="0"/>
    <cacheHierarchy uniqueName="[Dim_Item].[Item Name]" caption="Item Name" attribute="1" defaultMemberUniqueName="[Dim_Item].[Item Name].[All]" allUniqueName="[Dim_Item].[Item Name].[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ub-Category]" caption="Sub-Category" attribute="1" defaultMemberUniqueName="[Dim_Item].[Sub-Category].[All]" allUniqueName="[Dim_Item].[Sub-Category].[All]" dimensionUniqueName="[Dim_Item]" displayFolder="" count="0" memberValueDatatype="130" unbalanced="0"/>
    <cacheHierarchy uniqueName="[Dim_Item].[UOM]" caption="UOM" attribute="1" defaultMemberUniqueName="[Dim_Item].[UOM].[All]" allUniqueName="[Dim_Item].[UOM].[All]" dimensionUniqueName="[Dim_Item]" displayFolder="" count="0" memberValueDatatype="130" unbalanced="0"/>
    <cacheHierarchy uniqueName="[Dim_Item].[Standard Unit Price]" caption="Standard Unit Price" attribute="1" defaultMemberUniqueName="[Dim_Item].[Standard Unit Price].[All]" allUniqueName="[Dim_Item].[Standard Unit Price].[All]" dimensionUniqueName="[Dim_Item]" displayFolder="" count="0" memberValueDatatype="20" unbalanced="0"/>
    <cacheHierarchy uniqueName="[Dim_Vendor].[Vendor ID]" caption="Vendor ID" attribute="1" defaultMemberUniqueName="[Dim_Vendor].[Vendor ID].[All]" allUniqueName="[Dim_Vendor].[Vendor ID].[All]" dimensionUniqueName="[Dim_Vendor]" displayFolder="" count="0" memberValueDatatype="130" unbalanced="0"/>
    <cacheHierarchy uniqueName="[Dim_Vendor].[Vendor Name]" caption="Vendor Name" attribute="1" defaultMemberUniqueName="[Dim_Vendor].[Vendor Name].[All]" allUniqueName="[Dim_Vendor].[Vendor Name].[All]" dimensionUniqueName="[Dim_Vendor]" displayFolder="" count="2" memberValueDatatype="130" unbalanced="0"/>
    <cacheHierarchy uniqueName="[Dim_Vendor].[Category]" caption="Category" attribute="1" defaultMemberUniqueName="[Dim_Vendor].[Category].[All]" allUniqueName="[Dim_Vendor].[Category].[All]" dimensionUniqueName="[Dim_Vendor]" displayFolder="" count="0" memberValueDatatype="130" unbalanced="0"/>
    <cacheHierarchy uniqueName="[Dim_Vendor].[Region]" caption="Region" attribute="1" defaultMemberUniqueName="[Dim_Vendor].[Region].[All]" allUniqueName="[Dim_Vendor].[Region].[All]" dimensionUniqueName="[Dim_Vendor]" displayFolder="" count="2" memberValueDatatype="130" unbalanced="0"/>
    <cacheHierarchy uniqueName="[Dim_Vendor].[Segment (Strategic/Leverage/Bottleneck/Tail)]" caption="Segment (Strategic/Leverage/Bottleneck/Tail)" attribute="1" defaultMemberUniqueName="[Dim_Vendor].[Segment (Strategic/Leverage/Bottleneck/Tail)].[All]" allUniqueName="[Dim_Vendor].[Segment (Strategic/Leverage/Bottleneck/Tail)].[All]" dimensionUniqueName="[Dim_Vendor]" displayFolder="" count="0" memberValueDatatype="130" unbalanced="0"/>
    <cacheHierarchy uniqueName="[Dim_Vendor].[Contract Start]" caption="Contract Start" attribute="1" time="1" defaultMemberUniqueName="[Dim_Vendor].[Contract Start].[All]" allUniqueName="[Dim_Vendor].[Contract Start].[All]" dimensionUniqueName="[Dim_Vendor]" displayFolder="" count="0" memberValueDatatype="7" unbalanced="0"/>
    <cacheHierarchy uniqueName="[Dim_Vendor].[Contract End]" caption="Contract End" attribute="1" time="1" defaultMemberUniqueName="[Dim_Vendor].[Contract End].[All]" allUniqueName="[Dim_Vendor].[Contract End].[All]" dimensionUniqueName="[Dim_Vendor]" displayFolder="" count="0" memberValueDatatype="7" unbalanced="0"/>
    <cacheHierarchy uniqueName="[Dim_Vendor].[Payment Terms (Days)]" caption="Payment Terms (Days)" attribute="1" defaultMemberUniqueName="[Dim_Vendor].[Payment Terms (Days)].[All]" allUniqueName="[Dim_Vendor].[Payment Terms (Days)].[All]" dimensionUniqueName="[Dim_Vendor]" displayFolder="" count="0" memberValueDatatype="20" unbalanced="0"/>
    <cacheHierarchy uniqueName="[Dim_Vendor].[Approved (Y/N)]" caption="Approved (Y/N)" attribute="1" defaultMemberUniqueName="[Dim_Vendor].[Approved (Y/N)].[All]" allUniqueName="[Dim_Vendor].[Approved (Y/N)].[All]" dimensionUniqueName="[Dim_Vendor]" displayFolder="" count="0" memberValueDatatype="130" unbalanced="0"/>
    <cacheHierarchy uniqueName="[PO_Fact].[PO ID]" caption="PO ID" attribute="1" defaultMemberUniqueName="[PO_Fact].[PO ID].[All]" allUniqueName="[PO_Fact].[PO ID].[All]" dimensionUniqueName="[PO_Fact]" displayFolder="" count="0" memberValueDatatype="130" unbalanced="0"/>
    <cacheHierarchy uniqueName="[PO_Fact].[PO Line]" caption="PO Line" attribute="1" defaultMemberUniqueName="[PO_Fact].[PO Line].[All]" allUniqueName="[PO_Fact].[PO Line].[All]" dimensionUniqueName="[PO_Fact]" displayFolder="" count="0" memberValueDatatype="20" unbalanced="0"/>
    <cacheHierarchy uniqueName="[PO_Fact].[Order Date]" caption="Order Date" attribute="1" time="1" defaultMemberUniqueName="[PO_Fact].[Order Date].[All]" allUniqueName="[PO_Fact].[Order Date].[All]" dimensionUniqueName="[PO_Fact]" displayFolder="" count="0" memberValueDatatype="7" unbalanced="0"/>
    <cacheHierarchy uniqueName="[PO_Fact].[Vendor ID]" caption="Vendor ID" attribute="1" defaultMemberUniqueName="[PO_Fact].[Vendor ID].[All]" allUniqueName="[PO_Fact].[Vendor ID].[All]" dimensionUniqueName="[PO_Fact]" displayFolder="" count="0" memberValueDatatype="130" unbalanced="0"/>
    <cacheHierarchy uniqueName="[PO_Fact].[Item ID]" caption="Item ID" attribute="1" defaultMemberUniqueName="[PO_Fact].[Item ID].[All]" allUniqueName="[PO_Fact].[Item ID].[All]" dimensionUniqueName="[PO_Fact]" displayFolder="" count="0" memberValueDatatype="130" unbalanced="0"/>
    <cacheHierarchy uniqueName="[PO_Fact].[Dept ID]" caption="Dept ID" attribute="1" defaultMemberUniqueName="[PO_Fact].[Dept ID].[All]" allUniqueName="[PO_Fact].[Dept ID].[All]" dimensionUniqueName="[PO_Fact]" displayFolder="" count="0" memberValueDatatype="130" unbalanced="0"/>
    <cacheHierarchy uniqueName="[PO_Fact].[Quantity]" caption="Quantity" attribute="1" defaultMemberUniqueName="[PO_Fact].[Quantity].[All]" allUniqueName="[PO_Fact].[Quantity].[All]" dimensionUniqueName="[PO_Fact]" displayFolder="" count="0" memberValueDatatype="20" unbalanced="0"/>
    <cacheHierarchy uniqueName="[PO_Fact].[Unit Price (BDT)]" caption="Unit Price (BDT)" attribute="1" defaultMemberUniqueName="[PO_Fact].[Unit Price (BDT)].[All]" allUniqueName="[PO_Fact].[Unit Price (BDT)].[All]" dimensionUniqueName="[PO_Fact]" displayFolder="" count="0" memberValueDatatype="5" unbalanced="0"/>
    <cacheHierarchy uniqueName="[PO_Fact].[Line Amount (BDT)]" caption="Line Amount (BDT)" attribute="1" defaultMemberUniqueName="[PO_Fact].[Line Amount (BDT)].[All]" allUniqueName="[PO_Fact].[Line Amount (BDT)].[All]" dimensionUniqueName="[PO_Fact]" displayFolder="" count="0" memberValueDatatype="5" unbalanced="0"/>
    <cacheHierarchy uniqueName="[PO_Fact].[Contract Status]" caption="Contract Status" attribute="1" defaultMemberUniqueName="[PO_Fact].[Contract Status].[All]" allUniqueName="[PO_Fact].[Contract Status].[All]" dimensionUniqueName="[PO_Fact]" displayFolder="" count="0" memberValueDatatype="130" unbalanced="0"/>
    <cacheHierarchy uniqueName="[PO_Fact].[GRN Received (Y/N)]" caption="GRN Received (Y/N)" attribute="1" defaultMemberUniqueName="[PO_Fact].[GRN Received (Y/N)].[All]" allUniqueName="[PO_Fact].[GRN Received (Y/N)].[All]" dimensionUniqueName="[PO_Fact]" displayFolder="" count="0" memberValueDatatype="130" unbalanced="0"/>
    <cacheHierarchy uniqueName="[PO_Fact].[Invoice Status]" caption="Invoice Status" attribute="1" defaultMemberUniqueName="[PO_Fact].[Invoice Status].[All]" allUniqueName="[PO_Fact].[Invoice Status].[All]" dimensionUniqueName="[PO_Fact]" displayFolder="" count="0" memberValueDatatype="130" unbalanced="0"/>
    <cacheHierarchy uniqueName="[Measures].[Total Spend]" caption="Total Spend" measure="1" displayFolder="" measureGroup="Dim_Calendar" count="0" oneField="1">
      <fieldsUsage count="1">
        <fieldUsage x="1"/>
      </fieldsUsage>
    </cacheHierarchy>
    <cacheHierarchy uniqueName="[Measures].[Total Order]" caption="Total Order" measure="1" displayFolder="" measureGroup="Dim_Calendar" count="0"/>
    <cacheHierarchy uniqueName="[Measures].[Total Order QTY]" caption="Total Order QTY" measure="1" displayFolder="" measureGroup="Dim_Calendar" count="0"/>
    <cacheHierarchy uniqueName="[Measures].[Avg. Order QTY]" caption="Avg. Order QTY" measure="1" displayFolder="" measureGroup="Dim_Calendar" count="0"/>
    <cacheHierarchy uniqueName="[Measures].[Per Order Vlue]" caption="Per Order Vlue" measure="1" displayFolder="" measureGroup="Dim_Calendar" count="0"/>
    <cacheHierarchy uniqueName="[Measures].[__XL_Count Dim_Calendar]" caption="__XL_Count Dim_Calendar" measure="1" displayFolder="" measureGroup="Dim_Calendar" count="0" hidden="1"/>
    <cacheHierarchy uniqueName="[Measures].[__XL_Count Dim_Department]" caption="__XL_Count Dim_Department" measure="1" displayFolder="" measureGroup="Dim_Department" count="0" hidden="1"/>
    <cacheHierarchy uniqueName="[Measures].[__XL_Count Dim_Item]" caption="__XL_Count Dim_Item" measure="1" displayFolder="" measureGroup="Dim_Item" count="0" hidden="1"/>
    <cacheHierarchy uniqueName="[Measures].[__XL_Count Dim_Vendor]" caption="__XL_Count Dim_Vendor" measure="1" displayFolder="" measureGroup="Dim_Vendor" count="0" hidden="1"/>
    <cacheHierarchy uniqueName="[Measures].[__XL_Count PO_Fact]" caption="__XL_Count PO_Fact" measure="1" displayFolder="" measureGroup="PO_Fact" count="0" hidden="1"/>
    <cacheHierarchy uniqueName="[Measures].[__No measures defined]" caption="__No measures defined" measure="1" displayFolder="" count="0" hidden="1"/>
  </cacheHierarchies>
  <kpis count="0"/>
  <dimensions count="6">
    <dimension name="Dim_Calendar" uniqueName="[Dim_Calendar]" caption="Dim_Calendar"/>
    <dimension name="Dim_Department" uniqueName="[Dim_Department]" caption="Dim_Department"/>
    <dimension name="Dim_Item" uniqueName="[Dim_Item]" caption="Dim_Item"/>
    <dimension name="Dim_Vendor" uniqueName="[Dim_Vendor]" caption="Dim_Vendor"/>
    <dimension measure="1" name="Measures" uniqueName="[Measures]" caption="Measures"/>
    <dimension name="PO_Fact" uniqueName="[PO_Fact]" caption="PO_Fact"/>
  </dimensions>
  <measureGroups count="5">
    <measureGroup name="Dim_Calendar" caption="Dim_Calendar"/>
    <measureGroup name="Dim_Department" caption="Dim_Department"/>
    <measureGroup name="Dim_Item" caption="Dim_Item"/>
    <measureGroup name="Dim_Vendor" caption="Dim_Vendor"/>
    <measureGroup name="PO_Fact" caption="PO_Fact"/>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Click" refreshedDate="46217.939638425923" createdVersion="5" refreshedVersion="8" minRefreshableVersion="3" recordCount="0" supportSubquery="1" supportAdvancedDrill="1" xr:uid="{1E23E43C-502D-4A39-AA91-141380A7DE90}">
  <cacheSource type="external" connectionId="6"/>
  <cacheFields count="4">
    <cacheField name="[Dim_Department].[Department Name].[Department Name]" caption="Department Name" numFmtId="0" hierarchy="9" level="1">
      <sharedItems count="4">
        <s v="Admin"/>
        <s v="IT"/>
        <s v="Production"/>
        <s v="Supply Chain"/>
      </sharedItems>
    </cacheField>
    <cacheField name="[Measures].[Total Spend]" caption="Total Spend" numFmtId="0" hierarchy="40" level="32767"/>
    <cacheField name="[Dim_Item].[Category].[Category]" caption="Category" numFmtId="0" hierarchy="15" level="1">
      <sharedItems count="6">
        <s v="IT Equipment"/>
        <s v="Logistics"/>
        <s v="MRO"/>
        <s v="Office Supplies"/>
        <s v="Packaging"/>
        <s v="Raw Materials"/>
      </sharedItems>
    </cacheField>
    <cacheField name="[Dim_Calendar].[Quarter].[Quarter]" caption="Quarter" numFmtId="0" hierarchy="2" level="1">
      <sharedItems containsSemiMixedTypes="0" containsNonDate="0" containsString="0"/>
    </cacheField>
  </cacheFields>
  <cacheHierarchies count="51">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2" memberValueDatatype="20" unbalanced="0"/>
    <cacheHierarchy uniqueName="[Dim_Calendar].[Quarter]" caption="Quarter" attribute="1" defaultMemberUniqueName="[Dim_Calendar].[Quarter].[All]" allUniqueName="[Dim_Calendar].[Quarter].[All]" dimensionUniqueName="[Dim_Calendar]" displayFolder="" count="2" memberValueDatatype="20" unbalanced="0">
      <fieldsUsage count="2">
        <fieldUsage x="-1"/>
        <fieldUsage x="3"/>
      </fieldsUsage>
    </cacheHierarchy>
    <cacheHierarchy uniqueName="[Dim_Calendar].[Month Number]" caption="Month Number" attribute="1" defaultMemberUniqueName="[Dim_Calendar].[Month Number].[All]" allUniqueName="[Dim_Calendar].[Month Number].[All]" dimensionUniqueName="[Dim_Calendar]" displayFolder="" count="0" memberValueDatatype="20" unbalanced="0"/>
    <cacheHierarchy uniqueName="[Dim_Calendar].[Month Name]" caption="Month Name" attribute="1" defaultMemberUniqueName="[Dim_Calendar].[Month Name].[All]" allUniqueName="[Dim_Calendar].[Month Name].[All]" dimensionUniqueName="[Dim_Calendar]" displayFolder="" count="0" memberValueDatatype="130" unbalanced="0"/>
    <cacheHierarchy uniqueName="[Dim_Calendar].[Week Number]" caption="Week Number" attribute="1" defaultMemberUniqueName="[Dim_Calendar].[Week Number].[All]" allUniqueName="[Dim_Calendar].[Week Number].[All]" dimensionUniqueName="[Dim_Calendar]" displayFolder="" count="0" memberValueDatatype="20"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Is Weekend]" caption="Is Weekend" attribute="1" defaultMemberUniqueName="[Dim_Calendar].[Is Weekend].[All]" allUniqueName="[Dim_Calendar].[Is Weekend].[All]" dimensionUniqueName="[Dim_Calendar]" displayFolder="" count="0" memberValueDatatype="130" unbalanced="0"/>
    <cacheHierarchy uniqueName="[Dim_Department].[Dept ID]" caption="Dept ID" attribute="1" defaultMemberUniqueName="[Dim_Department].[Dept ID].[All]" allUniqueName="[Dim_Department].[Dept ID].[All]" dimensionUniqueName="[Dim_Department]" displayFolder="" count="0" memberValueDatatype="130" unbalanced="0"/>
    <cacheHierarchy uniqueName="[Dim_Department].[Department Name]" caption="Department Name" attribute="1" defaultMemberUniqueName="[Dim_Department].[Department Name].[All]" allUniqueName="[Dim_Department].[Department Name].[All]" dimensionUniqueName="[Dim_Department]" displayFolder="" count="2" memberValueDatatype="130" unbalanced="0">
      <fieldsUsage count="2">
        <fieldUsage x="-1"/>
        <fieldUsage x="0"/>
      </fieldsUsage>
    </cacheHierarchy>
    <cacheHierarchy uniqueName="[Dim_Department].[Cost Center Code]" caption="Cost Center Code" attribute="1" defaultMemberUniqueName="[Dim_Department].[Cost Center Code].[All]" allUniqueName="[Dim_Department].[Cost Center Code].[All]" dimensionUniqueName="[Dim_Department]" displayFolder="" count="0" memberValueDatatype="130" unbalanced="0"/>
    <cacheHierarchy uniqueName="[Dim_Department].[Budget Owner]" caption="Budget Owner" attribute="1" defaultMemberUniqueName="[Dim_Department].[Budget Owner].[All]" allUniqueName="[Dim_Department].[Budget Owner].[All]" dimensionUniqueName="[Dim_Department]" displayFolder="" count="0" memberValueDatatype="130" unbalanced="0"/>
    <cacheHierarchy uniqueName="[Dim_Department].[Annual Budget (BDT)]" caption="Annual Budget (BDT)" attribute="1" defaultMemberUniqueName="[Dim_Department].[Annual Budget (BDT)].[All]" allUniqueName="[Dim_Department].[Annual Budget (BDT)].[All]" dimensionUniqueName="[Dim_Department]" displayFolder="" count="0" memberValueDatatype="20" unbalanced="0"/>
    <cacheHierarchy uniqueName="[Dim_Item].[Item ID]" caption="Item ID" attribute="1" defaultMemberUniqueName="[Dim_Item].[Item ID].[All]" allUniqueName="[Dim_Item].[Item ID].[All]" dimensionUniqueName="[Dim_Item]" displayFolder="" count="0" memberValueDatatype="130" unbalanced="0"/>
    <cacheHierarchy uniqueName="[Dim_Item].[Item Name]" caption="Item Name" attribute="1" defaultMemberUniqueName="[Dim_Item].[Item Name].[All]" allUniqueName="[Dim_Item].[Item Name].[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2"/>
      </fieldsUsage>
    </cacheHierarchy>
    <cacheHierarchy uniqueName="[Dim_Item].[Sub-Category]" caption="Sub-Category" attribute="1" defaultMemberUniqueName="[Dim_Item].[Sub-Category].[All]" allUniqueName="[Dim_Item].[Sub-Category].[All]" dimensionUniqueName="[Dim_Item]" displayFolder="" count="0" memberValueDatatype="130" unbalanced="0"/>
    <cacheHierarchy uniqueName="[Dim_Item].[UOM]" caption="UOM" attribute="1" defaultMemberUniqueName="[Dim_Item].[UOM].[All]" allUniqueName="[Dim_Item].[UOM].[All]" dimensionUniqueName="[Dim_Item]" displayFolder="" count="0" memberValueDatatype="130" unbalanced="0"/>
    <cacheHierarchy uniqueName="[Dim_Item].[Standard Unit Price]" caption="Standard Unit Price" attribute="1" defaultMemberUniqueName="[Dim_Item].[Standard Unit Price].[All]" allUniqueName="[Dim_Item].[Standard Unit Price].[All]" dimensionUniqueName="[Dim_Item]" displayFolder="" count="0" memberValueDatatype="20" unbalanced="0"/>
    <cacheHierarchy uniqueName="[Dim_Vendor].[Vendor ID]" caption="Vendor ID" attribute="1" defaultMemberUniqueName="[Dim_Vendor].[Vendor ID].[All]" allUniqueName="[Dim_Vendor].[Vendor ID].[All]" dimensionUniqueName="[Dim_Vendor]" displayFolder="" count="0" memberValueDatatype="130" unbalanced="0"/>
    <cacheHierarchy uniqueName="[Dim_Vendor].[Vendor Name]" caption="Vendor Name" attribute="1" defaultMemberUniqueName="[Dim_Vendor].[Vendor Name].[All]" allUniqueName="[Dim_Vendor].[Vendor Name].[All]" dimensionUniqueName="[Dim_Vendor]" displayFolder="" count="2" memberValueDatatype="130" unbalanced="0"/>
    <cacheHierarchy uniqueName="[Dim_Vendor].[Category]" caption="Category" attribute="1" defaultMemberUniqueName="[Dim_Vendor].[Category].[All]" allUniqueName="[Dim_Vendor].[Category].[All]" dimensionUniqueName="[Dim_Vendor]" displayFolder="" count="0" memberValueDatatype="130" unbalanced="0"/>
    <cacheHierarchy uniqueName="[Dim_Vendor].[Region]" caption="Region" attribute="1" defaultMemberUniqueName="[Dim_Vendor].[Region].[All]" allUniqueName="[Dim_Vendor].[Region].[All]" dimensionUniqueName="[Dim_Vendor]" displayFolder="" count="2" memberValueDatatype="130" unbalanced="0"/>
    <cacheHierarchy uniqueName="[Dim_Vendor].[Segment (Strategic/Leverage/Bottleneck/Tail)]" caption="Segment (Strategic/Leverage/Bottleneck/Tail)" attribute="1" defaultMemberUniqueName="[Dim_Vendor].[Segment (Strategic/Leverage/Bottleneck/Tail)].[All]" allUniqueName="[Dim_Vendor].[Segment (Strategic/Leverage/Bottleneck/Tail)].[All]" dimensionUniqueName="[Dim_Vendor]" displayFolder="" count="0" memberValueDatatype="130" unbalanced="0"/>
    <cacheHierarchy uniqueName="[Dim_Vendor].[Contract Start]" caption="Contract Start" attribute="1" time="1" defaultMemberUniqueName="[Dim_Vendor].[Contract Start].[All]" allUniqueName="[Dim_Vendor].[Contract Start].[All]" dimensionUniqueName="[Dim_Vendor]" displayFolder="" count="0" memberValueDatatype="7" unbalanced="0"/>
    <cacheHierarchy uniqueName="[Dim_Vendor].[Contract End]" caption="Contract End" attribute="1" time="1" defaultMemberUniqueName="[Dim_Vendor].[Contract End].[All]" allUniqueName="[Dim_Vendor].[Contract End].[All]" dimensionUniqueName="[Dim_Vendor]" displayFolder="" count="0" memberValueDatatype="7" unbalanced="0"/>
    <cacheHierarchy uniqueName="[Dim_Vendor].[Payment Terms (Days)]" caption="Payment Terms (Days)" attribute="1" defaultMemberUniqueName="[Dim_Vendor].[Payment Terms (Days)].[All]" allUniqueName="[Dim_Vendor].[Payment Terms (Days)].[All]" dimensionUniqueName="[Dim_Vendor]" displayFolder="" count="0" memberValueDatatype="20" unbalanced="0"/>
    <cacheHierarchy uniqueName="[Dim_Vendor].[Approved (Y/N)]" caption="Approved (Y/N)" attribute="1" defaultMemberUniqueName="[Dim_Vendor].[Approved (Y/N)].[All]" allUniqueName="[Dim_Vendor].[Approved (Y/N)].[All]" dimensionUniqueName="[Dim_Vendor]" displayFolder="" count="0" memberValueDatatype="130" unbalanced="0"/>
    <cacheHierarchy uniqueName="[PO_Fact].[PO ID]" caption="PO ID" attribute="1" defaultMemberUniqueName="[PO_Fact].[PO ID].[All]" allUniqueName="[PO_Fact].[PO ID].[All]" dimensionUniqueName="[PO_Fact]" displayFolder="" count="0" memberValueDatatype="130" unbalanced="0"/>
    <cacheHierarchy uniqueName="[PO_Fact].[PO Line]" caption="PO Line" attribute="1" defaultMemberUniqueName="[PO_Fact].[PO Line].[All]" allUniqueName="[PO_Fact].[PO Line].[All]" dimensionUniqueName="[PO_Fact]" displayFolder="" count="0" memberValueDatatype="20" unbalanced="0"/>
    <cacheHierarchy uniqueName="[PO_Fact].[Order Date]" caption="Order Date" attribute="1" time="1" defaultMemberUniqueName="[PO_Fact].[Order Date].[All]" allUniqueName="[PO_Fact].[Order Date].[All]" dimensionUniqueName="[PO_Fact]" displayFolder="" count="0" memberValueDatatype="7" unbalanced="0"/>
    <cacheHierarchy uniqueName="[PO_Fact].[Vendor ID]" caption="Vendor ID" attribute="1" defaultMemberUniqueName="[PO_Fact].[Vendor ID].[All]" allUniqueName="[PO_Fact].[Vendor ID].[All]" dimensionUniqueName="[PO_Fact]" displayFolder="" count="0" memberValueDatatype="130" unbalanced="0"/>
    <cacheHierarchy uniqueName="[PO_Fact].[Item ID]" caption="Item ID" attribute="1" defaultMemberUniqueName="[PO_Fact].[Item ID].[All]" allUniqueName="[PO_Fact].[Item ID].[All]" dimensionUniqueName="[PO_Fact]" displayFolder="" count="0" memberValueDatatype="130" unbalanced="0"/>
    <cacheHierarchy uniqueName="[PO_Fact].[Dept ID]" caption="Dept ID" attribute="1" defaultMemberUniqueName="[PO_Fact].[Dept ID].[All]" allUniqueName="[PO_Fact].[Dept ID].[All]" dimensionUniqueName="[PO_Fact]" displayFolder="" count="0" memberValueDatatype="130" unbalanced="0"/>
    <cacheHierarchy uniqueName="[PO_Fact].[Quantity]" caption="Quantity" attribute="1" defaultMemberUniqueName="[PO_Fact].[Quantity].[All]" allUniqueName="[PO_Fact].[Quantity].[All]" dimensionUniqueName="[PO_Fact]" displayFolder="" count="0" memberValueDatatype="20" unbalanced="0"/>
    <cacheHierarchy uniqueName="[PO_Fact].[Unit Price (BDT)]" caption="Unit Price (BDT)" attribute="1" defaultMemberUniqueName="[PO_Fact].[Unit Price (BDT)].[All]" allUniqueName="[PO_Fact].[Unit Price (BDT)].[All]" dimensionUniqueName="[PO_Fact]" displayFolder="" count="0" memberValueDatatype="5" unbalanced="0"/>
    <cacheHierarchy uniqueName="[PO_Fact].[Line Amount (BDT)]" caption="Line Amount (BDT)" attribute="1" defaultMemberUniqueName="[PO_Fact].[Line Amount (BDT)].[All]" allUniqueName="[PO_Fact].[Line Amount (BDT)].[All]" dimensionUniqueName="[PO_Fact]" displayFolder="" count="0" memberValueDatatype="5" unbalanced="0"/>
    <cacheHierarchy uniqueName="[PO_Fact].[Contract Status]" caption="Contract Status" attribute="1" defaultMemberUniqueName="[PO_Fact].[Contract Status].[All]" allUniqueName="[PO_Fact].[Contract Status].[All]" dimensionUniqueName="[PO_Fact]" displayFolder="" count="0" memberValueDatatype="130" unbalanced="0"/>
    <cacheHierarchy uniqueName="[PO_Fact].[GRN Received (Y/N)]" caption="GRN Received (Y/N)" attribute="1" defaultMemberUniqueName="[PO_Fact].[GRN Received (Y/N)].[All]" allUniqueName="[PO_Fact].[GRN Received (Y/N)].[All]" dimensionUniqueName="[PO_Fact]" displayFolder="" count="0" memberValueDatatype="130" unbalanced="0"/>
    <cacheHierarchy uniqueName="[PO_Fact].[Invoice Status]" caption="Invoice Status" attribute="1" defaultMemberUniqueName="[PO_Fact].[Invoice Status].[All]" allUniqueName="[PO_Fact].[Invoice Status].[All]" dimensionUniqueName="[PO_Fact]" displayFolder="" count="0" memberValueDatatype="130" unbalanced="0"/>
    <cacheHierarchy uniqueName="[Measures].[Total Spend]" caption="Total Spend" measure="1" displayFolder="" measureGroup="Dim_Calendar" count="0" oneField="1">
      <fieldsUsage count="1">
        <fieldUsage x="1"/>
      </fieldsUsage>
    </cacheHierarchy>
    <cacheHierarchy uniqueName="[Measures].[Total Order]" caption="Total Order" measure="1" displayFolder="" measureGroup="Dim_Calendar" count="0"/>
    <cacheHierarchy uniqueName="[Measures].[Total Order QTY]" caption="Total Order QTY" measure="1" displayFolder="" measureGroup="Dim_Calendar" count="0"/>
    <cacheHierarchy uniqueName="[Measures].[Avg. Order QTY]" caption="Avg. Order QTY" measure="1" displayFolder="" measureGroup="Dim_Calendar" count="0"/>
    <cacheHierarchy uniqueName="[Measures].[Per Order Vlue]" caption="Per Order Vlue" measure="1" displayFolder="" measureGroup="Dim_Calendar" count="0"/>
    <cacheHierarchy uniqueName="[Measures].[__XL_Count Dim_Calendar]" caption="__XL_Count Dim_Calendar" measure="1" displayFolder="" measureGroup="Dim_Calendar" count="0" hidden="1"/>
    <cacheHierarchy uniqueName="[Measures].[__XL_Count Dim_Department]" caption="__XL_Count Dim_Department" measure="1" displayFolder="" measureGroup="Dim_Department" count="0" hidden="1"/>
    <cacheHierarchy uniqueName="[Measures].[__XL_Count Dim_Item]" caption="__XL_Count Dim_Item" measure="1" displayFolder="" measureGroup="Dim_Item" count="0" hidden="1"/>
    <cacheHierarchy uniqueName="[Measures].[__XL_Count Dim_Vendor]" caption="__XL_Count Dim_Vendor" measure="1" displayFolder="" measureGroup="Dim_Vendor" count="0" hidden="1"/>
    <cacheHierarchy uniqueName="[Measures].[__XL_Count PO_Fact]" caption="__XL_Count PO_Fact" measure="1" displayFolder="" measureGroup="PO_Fact" count="0" hidden="1"/>
    <cacheHierarchy uniqueName="[Measures].[__No measures defined]" caption="__No measures defined" measure="1" displayFolder="" count="0" hidden="1"/>
  </cacheHierarchies>
  <kpis count="0"/>
  <dimensions count="6">
    <dimension name="Dim_Calendar" uniqueName="[Dim_Calendar]" caption="Dim_Calendar"/>
    <dimension name="Dim_Department" uniqueName="[Dim_Department]" caption="Dim_Department"/>
    <dimension name="Dim_Item" uniqueName="[Dim_Item]" caption="Dim_Item"/>
    <dimension name="Dim_Vendor" uniqueName="[Dim_Vendor]" caption="Dim_Vendor"/>
    <dimension measure="1" name="Measures" uniqueName="[Measures]" caption="Measures"/>
    <dimension name="PO_Fact" uniqueName="[PO_Fact]" caption="PO_Fact"/>
  </dimensions>
  <measureGroups count="5">
    <measureGroup name="Dim_Calendar" caption="Dim_Calendar"/>
    <measureGroup name="Dim_Department" caption="Dim_Department"/>
    <measureGroup name="Dim_Item" caption="Dim_Item"/>
    <measureGroup name="Dim_Vendor" caption="Dim_Vendor"/>
    <measureGroup name="PO_Fact" caption="PO_Fact"/>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Click" refreshedDate="46217.936565393517" createdVersion="3" refreshedVersion="8" minRefreshableVersion="3" recordCount="0" supportSubquery="1" supportAdvancedDrill="1" xr:uid="{786B09DD-AC79-474D-BFE0-35F42A3814B6}">
  <cacheSource type="external" connectionId="6">
    <extLst>
      <ext xmlns:x14="http://schemas.microsoft.com/office/spreadsheetml/2009/9/main" uri="{F057638F-6D5F-4e77-A914-E7F072B9BCA8}">
        <x14:sourceConnection name="ThisWorkbookDataModel"/>
      </ext>
    </extLst>
  </cacheSource>
  <cacheFields count="0"/>
  <cacheHierarchies count="51">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2" memberValueDatatype="20" unbalanced="0"/>
    <cacheHierarchy uniqueName="[Dim_Calendar].[Quarter]" caption="Quarter" attribute="1" defaultMemberUniqueName="[Dim_Calendar].[Quarter].[All]" allUniqueName="[Dim_Calendar].[Quarter].[All]" dimensionUniqueName="[Dim_Calendar]" displayFolder="" count="2" memberValueDatatype="20" unbalanced="0"/>
    <cacheHierarchy uniqueName="[Dim_Calendar].[Month Number]" caption="Month Number" attribute="1" defaultMemberUniqueName="[Dim_Calendar].[Month Number].[All]" allUniqueName="[Dim_Calendar].[Month Number].[All]" dimensionUniqueName="[Dim_Calendar]" displayFolder="" count="0" memberValueDatatype="20" unbalanced="0"/>
    <cacheHierarchy uniqueName="[Dim_Calendar].[Month Name]" caption="Month Name" attribute="1" defaultMemberUniqueName="[Dim_Calendar].[Month Name].[All]" allUniqueName="[Dim_Calendar].[Month Name].[All]" dimensionUniqueName="[Dim_Calendar]" displayFolder="" count="0" memberValueDatatype="130" unbalanced="0"/>
    <cacheHierarchy uniqueName="[Dim_Calendar].[Week Number]" caption="Week Number" attribute="1" defaultMemberUniqueName="[Dim_Calendar].[Week Number].[All]" allUniqueName="[Dim_Calendar].[Week Number].[All]" dimensionUniqueName="[Dim_Calendar]" displayFolder="" count="0" memberValueDatatype="20"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Is Weekend]" caption="Is Weekend" attribute="1" defaultMemberUniqueName="[Dim_Calendar].[Is Weekend].[All]" allUniqueName="[Dim_Calendar].[Is Weekend].[All]" dimensionUniqueName="[Dim_Calendar]" displayFolder="" count="0" memberValueDatatype="130" unbalanced="0"/>
    <cacheHierarchy uniqueName="[Dim_Department].[Dept ID]" caption="Dept ID" attribute="1" defaultMemberUniqueName="[Dim_Department].[Dept ID].[All]" allUniqueName="[Dim_Department].[Dept ID].[All]" dimensionUniqueName="[Dim_Department]" displayFolder="" count="0" memberValueDatatype="130" unbalanced="0"/>
    <cacheHierarchy uniqueName="[Dim_Department].[Department Name]" caption="Department Name" attribute="1" defaultMemberUniqueName="[Dim_Department].[Department Name].[All]" allUniqueName="[Dim_Department].[Department Name].[All]" dimensionUniqueName="[Dim_Department]" displayFolder="" count="0" memberValueDatatype="130" unbalanced="0"/>
    <cacheHierarchy uniqueName="[Dim_Department].[Cost Center Code]" caption="Cost Center Code" attribute="1" defaultMemberUniqueName="[Dim_Department].[Cost Center Code].[All]" allUniqueName="[Dim_Department].[Cost Center Code].[All]" dimensionUniqueName="[Dim_Department]" displayFolder="" count="0" memberValueDatatype="130" unbalanced="0"/>
    <cacheHierarchy uniqueName="[Dim_Department].[Budget Owner]" caption="Budget Owner" attribute="1" defaultMemberUniqueName="[Dim_Department].[Budget Owner].[All]" allUniqueName="[Dim_Department].[Budget Owner].[All]" dimensionUniqueName="[Dim_Department]" displayFolder="" count="0" memberValueDatatype="130" unbalanced="0"/>
    <cacheHierarchy uniqueName="[Dim_Department].[Annual Budget (BDT)]" caption="Annual Budget (BDT)" attribute="1" defaultMemberUniqueName="[Dim_Department].[Annual Budget (BDT)].[All]" allUniqueName="[Dim_Department].[Annual Budget (BDT)].[All]" dimensionUniqueName="[Dim_Department]" displayFolder="" count="0" memberValueDatatype="20" unbalanced="0"/>
    <cacheHierarchy uniqueName="[Dim_Item].[Item ID]" caption="Item ID" attribute="1" defaultMemberUniqueName="[Dim_Item].[Item ID].[All]" allUniqueName="[Dim_Item].[Item ID].[All]" dimensionUniqueName="[Dim_Item]" displayFolder="" count="0" memberValueDatatype="130" unbalanced="0"/>
    <cacheHierarchy uniqueName="[Dim_Item].[Item Name]" caption="Item Name" attribute="1" defaultMemberUniqueName="[Dim_Item].[Item Name].[All]" allUniqueName="[Dim_Item].[Item Name].[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ub-Category]" caption="Sub-Category" attribute="1" defaultMemberUniqueName="[Dim_Item].[Sub-Category].[All]" allUniqueName="[Dim_Item].[Sub-Category].[All]" dimensionUniqueName="[Dim_Item]" displayFolder="" count="0" memberValueDatatype="130" unbalanced="0"/>
    <cacheHierarchy uniqueName="[Dim_Item].[UOM]" caption="UOM" attribute="1" defaultMemberUniqueName="[Dim_Item].[UOM].[All]" allUniqueName="[Dim_Item].[UOM].[All]" dimensionUniqueName="[Dim_Item]" displayFolder="" count="0" memberValueDatatype="130" unbalanced="0"/>
    <cacheHierarchy uniqueName="[Dim_Item].[Standard Unit Price]" caption="Standard Unit Price" attribute="1" defaultMemberUniqueName="[Dim_Item].[Standard Unit Price].[All]" allUniqueName="[Dim_Item].[Standard Unit Price].[All]" dimensionUniqueName="[Dim_Item]" displayFolder="" count="0" memberValueDatatype="20" unbalanced="0"/>
    <cacheHierarchy uniqueName="[Dim_Vendor].[Vendor ID]" caption="Vendor ID" attribute="1" defaultMemberUniqueName="[Dim_Vendor].[Vendor ID].[All]" allUniqueName="[Dim_Vendor].[Vendor ID].[All]" dimensionUniqueName="[Dim_Vendor]" displayFolder="" count="0" memberValueDatatype="130" unbalanced="0"/>
    <cacheHierarchy uniqueName="[Dim_Vendor].[Vendor Name]" caption="Vendor Name" attribute="1" defaultMemberUniqueName="[Dim_Vendor].[Vendor Name].[All]" allUniqueName="[Dim_Vendor].[Vendor Name].[All]" dimensionUniqueName="[Dim_Vendor]" displayFolder="" count="2" memberValueDatatype="130" unbalanced="0"/>
    <cacheHierarchy uniqueName="[Dim_Vendor].[Category]" caption="Category" attribute="1" defaultMemberUniqueName="[Dim_Vendor].[Category].[All]" allUniqueName="[Dim_Vendor].[Category].[All]" dimensionUniqueName="[Dim_Vendor]" displayFolder="" count="0" memberValueDatatype="130" unbalanced="0"/>
    <cacheHierarchy uniqueName="[Dim_Vendor].[Region]" caption="Region" attribute="1" defaultMemberUniqueName="[Dim_Vendor].[Region].[All]" allUniqueName="[Dim_Vendor].[Region].[All]" dimensionUniqueName="[Dim_Vendor]" displayFolder="" count="2" memberValueDatatype="130" unbalanced="0"/>
    <cacheHierarchy uniqueName="[Dim_Vendor].[Segment (Strategic/Leverage/Bottleneck/Tail)]" caption="Segment (Strategic/Leverage/Bottleneck/Tail)" attribute="1" defaultMemberUniqueName="[Dim_Vendor].[Segment (Strategic/Leverage/Bottleneck/Tail)].[All]" allUniqueName="[Dim_Vendor].[Segment (Strategic/Leverage/Bottleneck/Tail)].[All]" dimensionUniqueName="[Dim_Vendor]" displayFolder="" count="0" memberValueDatatype="130" unbalanced="0"/>
    <cacheHierarchy uniqueName="[Dim_Vendor].[Contract Start]" caption="Contract Start" attribute="1" time="1" defaultMemberUniqueName="[Dim_Vendor].[Contract Start].[All]" allUniqueName="[Dim_Vendor].[Contract Start].[All]" dimensionUniqueName="[Dim_Vendor]" displayFolder="" count="0" memberValueDatatype="7" unbalanced="0"/>
    <cacheHierarchy uniqueName="[Dim_Vendor].[Contract End]" caption="Contract End" attribute="1" time="1" defaultMemberUniqueName="[Dim_Vendor].[Contract End].[All]" allUniqueName="[Dim_Vendor].[Contract End].[All]" dimensionUniqueName="[Dim_Vendor]" displayFolder="" count="0" memberValueDatatype="7" unbalanced="0"/>
    <cacheHierarchy uniqueName="[Dim_Vendor].[Payment Terms (Days)]" caption="Payment Terms (Days)" attribute="1" defaultMemberUniqueName="[Dim_Vendor].[Payment Terms (Days)].[All]" allUniqueName="[Dim_Vendor].[Payment Terms (Days)].[All]" dimensionUniqueName="[Dim_Vendor]" displayFolder="" count="0" memberValueDatatype="20" unbalanced="0"/>
    <cacheHierarchy uniqueName="[Dim_Vendor].[Approved (Y/N)]" caption="Approved (Y/N)" attribute="1" defaultMemberUniqueName="[Dim_Vendor].[Approved (Y/N)].[All]" allUniqueName="[Dim_Vendor].[Approved (Y/N)].[All]" dimensionUniqueName="[Dim_Vendor]" displayFolder="" count="0" memberValueDatatype="130" unbalanced="0"/>
    <cacheHierarchy uniqueName="[PO_Fact].[PO ID]" caption="PO ID" attribute="1" defaultMemberUniqueName="[PO_Fact].[PO ID].[All]" allUniqueName="[PO_Fact].[PO ID].[All]" dimensionUniqueName="[PO_Fact]" displayFolder="" count="0" memberValueDatatype="130" unbalanced="0"/>
    <cacheHierarchy uniqueName="[PO_Fact].[PO Line]" caption="PO Line" attribute="1" defaultMemberUniqueName="[PO_Fact].[PO Line].[All]" allUniqueName="[PO_Fact].[PO Line].[All]" dimensionUniqueName="[PO_Fact]" displayFolder="" count="0" memberValueDatatype="20" unbalanced="0"/>
    <cacheHierarchy uniqueName="[PO_Fact].[Order Date]" caption="Order Date" attribute="1" time="1" defaultMemberUniqueName="[PO_Fact].[Order Date].[All]" allUniqueName="[PO_Fact].[Order Date].[All]" dimensionUniqueName="[PO_Fact]" displayFolder="" count="0" memberValueDatatype="7" unbalanced="0"/>
    <cacheHierarchy uniqueName="[PO_Fact].[Vendor ID]" caption="Vendor ID" attribute="1" defaultMemberUniqueName="[PO_Fact].[Vendor ID].[All]" allUniqueName="[PO_Fact].[Vendor ID].[All]" dimensionUniqueName="[PO_Fact]" displayFolder="" count="0" memberValueDatatype="130" unbalanced="0"/>
    <cacheHierarchy uniqueName="[PO_Fact].[Item ID]" caption="Item ID" attribute="1" defaultMemberUniqueName="[PO_Fact].[Item ID].[All]" allUniqueName="[PO_Fact].[Item ID].[All]" dimensionUniqueName="[PO_Fact]" displayFolder="" count="0" memberValueDatatype="130" unbalanced="0"/>
    <cacheHierarchy uniqueName="[PO_Fact].[Dept ID]" caption="Dept ID" attribute="1" defaultMemberUniqueName="[PO_Fact].[Dept ID].[All]" allUniqueName="[PO_Fact].[Dept ID].[All]" dimensionUniqueName="[PO_Fact]" displayFolder="" count="0" memberValueDatatype="130" unbalanced="0"/>
    <cacheHierarchy uniqueName="[PO_Fact].[Quantity]" caption="Quantity" attribute="1" defaultMemberUniqueName="[PO_Fact].[Quantity].[All]" allUniqueName="[PO_Fact].[Quantity].[All]" dimensionUniqueName="[PO_Fact]" displayFolder="" count="0" memberValueDatatype="20" unbalanced="0"/>
    <cacheHierarchy uniqueName="[PO_Fact].[Unit Price (BDT)]" caption="Unit Price (BDT)" attribute="1" defaultMemberUniqueName="[PO_Fact].[Unit Price (BDT)].[All]" allUniqueName="[PO_Fact].[Unit Price (BDT)].[All]" dimensionUniqueName="[PO_Fact]" displayFolder="" count="0" memberValueDatatype="5" unbalanced="0"/>
    <cacheHierarchy uniqueName="[PO_Fact].[Line Amount (BDT)]" caption="Line Amount (BDT)" attribute="1" defaultMemberUniqueName="[PO_Fact].[Line Amount (BDT)].[All]" allUniqueName="[PO_Fact].[Line Amount (BDT)].[All]" dimensionUniqueName="[PO_Fact]" displayFolder="" count="0" memberValueDatatype="5" unbalanced="0"/>
    <cacheHierarchy uniqueName="[PO_Fact].[Contract Status]" caption="Contract Status" attribute="1" defaultMemberUniqueName="[PO_Fact].[Contract Status].[All]" allUniqueName="[PO_Fact].[Contract Status].[All]" dimensionUniqueName="[PO_Fact]" displayFolder="" count="0" memberValueDatatype="130" unbalanced="0"/>
    <cacheHierarchy uniqueName="[PO_Fact].[GRN Received (Y/N)]" caption="GRN Received (Y/N)" attribute="1" defaultMemberUniqueName="[PO_Fact].[GRN Received (Y/N)].[All]" allUniqueName="[PO_Fact].[GRN Received (Y/N)].[All]" dimensionUniqueName="[PO_Fact]" displayFolder="" count="0" memberValueDatatype="130" unbalanced="0"/>
    <cacheHierarchy uniqueName="[PO_Fact].[Invoice Status]" caption="Invoice Status" attribute="1" defaultMemberUniqueName="[PO_Fact].[Invoice Status].[All]" allUniqueName="[PO_Fact].[Invoice Status].[All]" dimensionUniqueName="[PO_Fact]" displayFolder="" count="0" memberValueDatatype="130" unbalanced="0"/>
    <cacheHierarchy uniqueName="[Measures].[Total Spend]" caption="Total Spend" measure="1" displayFolder="" measureGroup="Dim_Calendar" count="0"/>
    <cacheHierarchy uniqueName="[Measures].[Total Order]" caption="Total Order" measure="1" displayFolder="" measureGroup="Dim_Calendar" count="0"/>
    <cacheHierarchy uniqueName="[Measures].[Total Order QTY]" caption="Total Order QTY" measure="1" displayFolder="" measureGroup="Dim_Calendar" count="0"/>
    <cacheHierarchy uniqueName="[Measures].[Avg. Order QTY]" caption="Avg. Order QTY" measure="1" displayFolder="" measureGroup="Dim_Calendar" count="0"/>
    <cacheHierarchy uniqueName="[Measures].[Per Order Vlue]" caption="Per Order Vlue" measure="1" displayFolder="" measureGroup="Dim_Calendar" count="0"/>
    <cacheHierarchy uniqueName="[Measures].[__XL_Count Dim_Calendar]" caption="__XL_Count Dim_Calendar" measure="1" displayFolder="" measureGroup="Dim_Calendar" count="0" hidden="1"/>
    <cacheHierarchy uniqueName="[Measures].[__XL_Count Dim_Department]" caption="__XL_Count Dim_Department" measure="1" displayFolder="" measureGroup="Dim_Department" count="0" hidden="1"/>
    <cacheHierarchy uniqueName="[Measures].[__XL_Count Dim_Item]" caption="__XL_Count Dim_Item" measure="1" displayFolder="" measureGroup="Dim_Item" count="0" hidden="1"/>
    <cacheHierarchy uniqueName="[Measures].[__XL_Count Dim_Vendor]" caption="__XL_Count Dim_Vendor" measure="1" displayFolder="" measureGroup="Dim_Vendor" count="0" hidden="1"/>
    <cacheHierarchy uniqueName="[Measures].[__XL_Count PO_Fact]" caption="__XL_Count PO_Fact" measure="1" displayFolder="" measureGroup="PO_Fa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619182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FD9BF1-D717-459C-8E76-40E4A2333CAD}" name="PivotTable4" cacheId="0" applyNumberFormats="0" applyBorderFormats="0" applyFontFormats="0" applyPatternFormats="0" applyAlignmentFormats="0" applyWidthHeightFormats="1" dataCaption="Values" tag="706b8bc4-b382-47ab-a277-3675c2ef280a" updatedVersion="8" minRefreshableVersion="3" useAutoFormatting="1" subtotalHiddenItems="1" itemPrintTitles="1" createdVersion="5" indent="0" compact="0" compactData="0" multipleFieldFilters="0" chartFormat="17">
  <location ref="Q3:S16" firstHeaderRow="1" firstDataRow="1" firstDataCol="2"/>
  <pivotFields count="5">
    <pivotField compact="0" allDrilled="1" outline="0" subtotalTop="0" showAll="0" dataSourceSort="1" defaultSubtotal="0" defaultAttributeDrillState="1">
      <items count="4">
        <item s="1" x="0"/>
        <item s="1" x="1"/>
        <item s="1" x="2"/>
        <item s="1" x="3"/>
      </items>
    </pivotField>
    <pivotField dataField="1" compact="0" outline="0" subtotalTop="0" showAll="0" defaultSubtotal="0"/>
    <pivotField axis="axisRow" compact="0" allDrilled="1" outline="0" subtotalTop="0" showAll="0" sortType="ascending"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2">
    <field x="2"/>
    <field x="3"/>
  </rowFields>
  <rowItems count="13">
    <i>
      <x/>
      <x/>
    </i>
    <i>
      <x v="1"/>
      <x v="1"/>
    </i>
    <i>
      <x v="2"/>
      <x v="2"/>
    </i>
    <i>
      <x v="3"/>
      <x v="3"/>
    </i>
    <i>
      <x v="4"/>
      <x v="4"/>
    </i>
    <i>
      <x v="5"/>
      <x v="5"/>
    </i>
    <i>
      <x v="6"/>
      <x v="6"/>
    </i>
    <i>
      <x v="7"/>
      <x v="7"/>
    </i>
    <i>
      <x v="8"/>
      <x v="8"/>
    </i>
    <i>
      <x v="9"/>
      <x v="9"/>
    </i>
    <i>
      <x v="10"/>
      <x v="10"/>
    </i>
    <i>
      <x v="11"/>
      <x v="11"/>
    </i>
    <i t="grand">
      <x/>
    </i>
  </rowItems>
  <colItems count="1">
    <i/>
  </colItems>
  <dataFields count="1">
    <dataField fld="1" subtotal="count" baseField="0" baseItem="0"/>
  </dataFields>
  <chartFormats count="9">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lendar]"/>
        <x15:activeTabTopLevelEntity name="[Dim_Department]"/>
        <x15:activeTabTopLevelEntity name="[Dim_Item]"/>
        <x15:activeTabTopLevelEntity name="[Dim_Vend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2DE28C-7F86-4514-94C1-CC8C7134835B}" name="PivotTable3" cacheId="3" applyNumberFormats="0" applyBorderFormats="0" applyFontFormats="0" applyPatternFormats="0" applyAlignmentFormats="0" applyWidthHeightFormats="1" dataCaption="Values" tag="807f9b56-26c3-484a-9800-aff73fb999f3" updatedVersion="8" minRefreshableVersion="3" useAutoFormatting="1" subtotalHiddenItems="1" itemPrintTitles="1" createdVersion="5" indent="0" compact="0" compactData="0" multipleFieldFilters="0" chartFormat="12">
  <location ref="L3:M10" firstHeaderRow="1" firstDataRow="1" firstDataCol="1"/>
  <pivotFields count="4">
    <pivotField compact="0" allDrilled="1" outline="0" subtotalTop="0" showAll="0" dataSourceSort="1" defaultSubtotal="0" defaultAttributeDrillState="1">
      <items count="4">
        <item s="1" x="0"/>
        <item s="1" x="1"/>
        <item s="1" x="2"/>
        <item s="1" x="3"/>
      </items>
    </pivotField>
    <pivotField dataField="1" compact="0" outline="0" subtotalTop="0" showAll="0" defaultSubtotal="0"/>
    <pivotField axis="axisRow" compact="0" allDrilled="1" outline="0" subtotalTop="0" showAll="0" dataSourceSort="1" defaultSubtotal="0" defaultAttributeDrillState="1">
      <items count="6">
        <item x="0"/>
        <item x="1"/>
        <item x="2"/>
        <item x="3"/>
        <item x="4"/>
        <item x="5"/>
      </items>
    </pivotField>
    <pivotField compact="0" allDrilled="1" outline="0" subtotalTop="0" showAll="0" dataSourceSort="1" defaultSubtotal="0" defaultAttributeDrillState="1"/>
  </pivotFields>
  <rowFields count="1">
    <field x="2"/>
  </rowFields>
  <rowItems count="7">
    <i>
      <x/>
    </i>
    <i>
      <x v="1"/>
    </i>
    <i>
      <x v="2"/>
    </i>
    <i>
      <x v="3"/>
    </i>
    <i>
      <x v="4"/>
    </i>
    <i>
      <x v="5"/>
    </i>
    <i t="grand">
      <x/>
    </i>
  </rowItems>
  <colItems count="1">
    <i/>
  </colItems>
  <dataFields count="1">
    <dataField fld="1" subtotal="count" baseField="0" baseItem="0"/>
  </dataFields>
  <chartFormats count="11">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2" count="1" selected="0">
            <x v="0"/>
          </reference>
        </references>
      </pivotArea>
    </chartFormat>
    <chartFormat chart="7" format="2">
      <pivotArea type="data" outline="0" fieldPosition="0">
        <references count="2">
          <reference field="4294967294" count="1" selected="0">
            <x v="0"/>
          </reference>
          <reference field="2" count="1" selected="0">
            <x v="1"/>
          </reference>
        </references>
      </pivotArea>
    </chartFormat>
    <chartFormat chart="7" format="3">
      <pivotArea type="data" outline="0" fieldPosition="0">
        <references count="2">
          <reference field="4294967294" count="1" selected="0">
            <x v="0"/>
          </reference>
          <reference field="2" count="1" selected="0">
            <x v="2"/>
          </reference>
        </references>
      </pivotArea>
    </chartFormat>
    <chartFormat chart="7" format="4">
      <pivotArea type="data" outline="0" fieldPosition="0">
        <references count="2">
          <reference field="4294967294" count="1" selected="0">
            <x v="0"/>
          </reference>
          <reference field="2" count="1" selected="0">
            <x v="3"/>
          </reference>
        </references>
      </pivotArea>
    </chartFormat>
    <chartFormat chart="7" format="5">
      <pivotArea type="data" outline="0" fieldPosition="0">
        <references count="2">
          <reference field="4294967294" count="1" selected="0">
            <x v="0"/>
          </reference>
          <reference field="2" count="1" selected="0">
            <x v="4"/>
          </reference>
        </references>
      </pivotArea>
    </chartFormat>
    <chartFormat chart="7" format="6">
      <pivotArea type="data" outline="0" fieldPosition="0">
        <references count="2">
          <reference field="4294967294" count="1" selected="0">
            <x v="0"/>
          </reference>
          <reference field="2" count="1" selected="0">
            <x v="5"/>
          </reference>
        </references>
      </pivotArea>
    </chartFormat>
  </chartFormats>
  <pivotHierarchies count="5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lendar]"/>
        <x15:activeTabTopLevelEntity name="[Dim_Department]"/>
        <x15:activeTabTopLevelEntity name="[Dim_Ite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4F7CA9-0910-4B5E-8746-6732FC986578}" name="PivotTable2" cacheId="2" applyNumberFormats="0" applyBorderFormats="0" applyFontFormats="0" applyPatternFormats="0" applyAlignmentFormats="0" applyWidthHeightFormats="1" dataCaption="Values" tag="d52d85db-99d0-4889-b64c-96a601d1de14" updatedVersion="8" minRefreshableVersion="3" useAutoFormatting="1" subtotalHiddenItems="1" itemPrintTitles="1" createdVersion="5" indent="0" compact="0" compactData="0" multipleFieldFilters="0" chartFormat="7">
  <location ref="I3:J8" firstHeaderRow="1" firstDataRow="1" firstDataCol="1"/>
  <pivotFields count="3">
    <pivotField axis="axisRow" compact="0" allDrilled="1" outline="0" subtotalTop="0" showAll="0" dataSourceSort="1" defaultSubtotal="0" defaultAttributeDrillState="1">
      <items count="4">
        <item s="1" x="0"/>
        <item s="1" x="1"/>
        <item s="1" x="2"/>
        <item s="1" x="3"/>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5">
    <i>
      <x/>
    </i>
    <i>
      <x v="1"/>
    </i>
    <i>
      <x v="2"/>
    </i>
    <i>
      <x v="3"/>
    </i>
    <i t="grand">
      <x/>
    </i>
  </rowItems>
  <colItems count="1">
    <i/>
  </colItems>
  <dataFields count="1">
    <dataField fld="1" subtotal="count"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s>
  <pivotHierarchies count="5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lendar]"/>
        <x15:activeTabTopLevelEntity name="[Dim_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598199-0D59-408F-9529-E09FAECA185A}" name="PivotTable1" cacheId="1" applyNumberFormats="0" applyBorderFormats="0" applyFontFormats="0" applyPatternFormats="0" applyAlignmentFormats="0" applyWidthHeightFormats="1" dataCaption="Values" tag="b6d88853-7f34-4b6b-a059-70d55c99239a" updatedVersion="8" minRefreshableVersion="3" useAutoFormatting="1" itemPrintTitles="1" createdVersion="5" indent="0" outline="1" outlineData="1" multipleFieldFilters="0">
  <location ref="B3:F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5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810A0122-69FB-4F77-A4C9-FED679F0DB09}" sourceName="[Dim_Calendar].[Quarter]">
  <pivotTables>
    <pivotTable tabId="2" name="PivotTable4"/>
    <pivotTable tabId="2" name="PivotTable1"/>
    <pivotTable tabId="2" name="PivotTable2"/>
    <pivotTable tabId="2" name="PivotTable3"/>
  </pivotTables>
  <data>
    <olap pivotCacheId="461918295">
      <levels count="2">
        <level uniqueName="[Dim_Calendar].[Quarter].[(All)]" sourceCaption="(All)" count="0"/>
        <level uniqueName="[Dim_Calendar].[Quarter].[Quarter]" sourceCaption="Quarter" count="4">
          <ranges>
            <range startItem="0">
              <i n="[Dim_Calendar].[Quarter].&amp;[1]" c="1"/>
              <i n="[Dim_Calendar].[Quarter].&amp;[2]" c="2"/>
              <i n="[Dim_Calendar].[Quarter].&amp;[3]" c="3"/>
              <i n="[Dim_Calendar].[Quarter].&amp;[4]" c="4"/>
            </range>
          </ranges>
        </level>
      </levels>
      <selections count="1">
        <selection n="[Dim_Calendar].[Quart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4F9B7D5-305D-4E68-B763-D910DDE1CFD0}" sourceName="[Dim_Calendar].[Year]">
  <pivotTables>
    <pivotTable tabId="2" name="PivotTable4"/>
    <pivotTable tabId="2" name="PivotTable1"/>
    <pivotTable tabId="2" name="PivotTable2"/>
    <pivotTable tabId="2" name="PivotTable3"/>
  </pivotTables>
  <data>
    <olap pivotCacheId="461918295">
      <levels count="2">
        <level uniqueName="[Dim_Calendar].[Year].[(All)]" sourceCaption="(All)" count="0"/>
        <level uniqueName="[Dim_Calendar].[Year].[Year]" sourceCaption="Year" count="1">
          <ranges>
            <range startItem="0">
              <i n="[Dim_Calendar].[Year].&amp;[2026]" c="2026"/>
            </range>
          </ranges>
        </level>
      </levels>
      <selections count="1">
        <selection n="[Dim_Calendar].[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8FC711F-B4C9-47C4-BDFF-12D29A8D56C6}" sourceName="[Dim_Vendor].[Region]">
  <pivotTables>
    <pivotTable tabId="2" name="PivotTable4"/>
    <pivotTable tabId="2" name="PivotTable1"/>
    <pivotTable tabId="2" name="PivotTable2"/>
    <pivotTable tabId="2" name="PivotTable3"/>
  </pivotTables>
  <data>
    <olap pivotCacheId="461918295">
      <levels count="2">
        <level uniqueName="[Dim_Vendor].[Region].[(All)]" sourceCaption="(All)" count="0"/>
        <level uniqueName="[Dim_Vendor].[Region].[Region]" sourceCaption="Region" count="4">
          <ranges>
            <range startItem="0">
              <i n="[Dim_Vendor].[Region].&amp;[Chattogram]" c="Chattogram"/>
              <i n="[Dim_Vendor].[Region].&amp;[Dhaka]" c="Dhaka"/>
              <i n="[Dim_Vendor].[Region].&amp;[Khulna]" c="Khulna"/>
              <i n="[Dim_Vendor].[Region].&amp;[Sylhet]" c="Sylhet"/>
            </range>
          </ranges>
        </level>
      </levels>
      <selections count="1">
        <selection n="[Dim_Vendor].[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_Name" xr10:uid="{53E6F169-F83B-45F7-83EE-876B3AA623A9}" sourceName="[Dim_Vendor].[Vendor Name]">
  <pivotTables>
    <pivotTable tabId="2" name="PivotTable4"/>
    <pivotTable tabId="2" name="PivotTable1"/>
    <pivotTable tabId="2" name="PivotTable2"/>
    <pivotTable tabId="2" name="PivotTable3"/>
  </pivotTables>
  <data>
    <olap pivotCacheId="461918295">
      <levels count="2">
        <level uniqueName="[Dim_Vendor].[Vendor Name].[(All)]" sourceCaption="(All)" count="0"/>
        <level uniqueName="[Dim_Vendor].[Vendor Name].[Vendor Name]" sourceCaption="Vendor Name" count="7">
          <ranges>
            <range startItem="0">
              <i n="[Dim_Vendor].[Vendor Name].&amp;[Alpha Steel Traders]" c="Alpha Steel Traders"/>
              <i n="[Dim_Vendor].[Vendor Name].&amp;[Falcon Facility Services]" c="Falcon Facility Services"/>
              <i n="[Dim_Vendor].[Vendor Name].&amp;[Greenfield Logistics]" c="Greenfield Logistics"/>
              <i n="[Dim_Vendor].[Vendor Name].&amp;[Metro Office Supplies]" c="Metro Office Supplies"/>
              <i n="[Dim_Vendor].[Vendor Name].&amp;[Nexus Packaging Ltd]" c="Nexus Packaging Ltd"/>
              <i n="[Dim_Vendor].[Vendor Name].&amp;[Prime IT Solutions]" c="Prime IT Solutions"/>
              <i n="[Dim_Vendor].[Vendor Name].&amp;[Sunrise Chemicals]" c="Sunrise Chemicals"/>
            </range>
          </ranges>
        </level>
      </levels>
      <selections count="1">
        <selection n="[Dim_Vendor].[Vendor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62EB0032-7D28-4CDD-A519-89B12DAEC780}" cache="Slicer_Quarter" caption="Quarter" level="1" rowHeight="257175"/>
  <slicer name="Year" xr10:uid="{684DDEBA-A469-4A89-96F6-4DEF8567AB7D}" cache="Slicer_Year" caption="Year" level="1" rowHeight="257175"/>
  <slicer name="Region" xr10:uid="{D5542E0D-FA01-4AF5-8AB3-820F15B6330B}" cache="Slicer_Region" caption="Region" level="1" rowHeight="257175"/>
  <slicer name="Vendor Name" xr10:uid="{8B1ECB8F-D45B-49FF-9292-F43026C4B859}" cache="Slicer_Vendor_Name" caption="Vendor Name"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080906F-F1F6-4290-8285-E1099BAC2218}">
  <we:reference id="wa200009404" version="1.0.0.8" store="en-US" storeType="OMEX"/>
  <we:alternateReferences>
    <we:reference id="wa200009404" version="1.0.0.8" store="WA200009404" storeType="OMEX"/>
  </we:alternateReferences>
  <we:properties>
    <we:property name="claude.fileId" value="&quot;3524653d-3356-4f25-9221-47dca6540ca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5E45F-44EA-4C4C-9D51-F131D8078839}">
  <sheetPr>
    <pageSetUpPr fitToPage="1"/>
  </sheetPr>
  <dimension ref="A1:T96"/>
  <sheetViews>
    <sheetView showGridLines="0" tabSelected="1" zoomScale="68" zoomScaleNormal="91" workbookViewId="0">
      <pane ySplit="3" topLeftCell="A4" activePane="bottomLeft" state="frozen"/>
      <selection pane="bottomLeft" activeCell="Q28" sqref="Q28"/>
    </sheetView>
  </sheetViews>
  <sheetFormatPr defaultRowHeight="14.4" x14ac:dyDescent="0.3"/>
  <cols>
    <col min="1" max="1" width="1.109375" customWidth="1"/>
    <col min="2" max="19" width="9.6640625" customWidth="1"/>
    <col min="20" max="20" width="1.109375" customWidth="1"/>
  </cols>
  <sheetData>
    <row r="1" spans="1:20" ht="6" customHeight="1" x14ac:dyDescent="0.3">
      <c r="A1" s="13"/>
      <c r="B1" s="13"/>
      <c r="C1" s="13"/>
      <c r="D1" s="13"/>
      <c r="E1" s="13"/>
      <c r="F1" s="13"/>
      <c r="G1" s="13"/>
      <c r="H1" s="13"/>
      <c r="I1" s="13"/>
      <c r="J1" s="13"/>
      <c r="K1" s="13"/>
      <c r="L1" s="13"/>
      <c r="M1" s="13"/>
      <c r="N1" s="13"/>
      <c r="O1" s="13"/>
      <c r="P1" s="13"/>
      <c r="Q1" s="13"/>
      <c r="R1" s="13"/>
      <c r="S1" s="13"/>
      <c r="T1" s="13"/>
    </row>
    <row r="2" spans="1:20" ht="25.95" customHeight="1" x14ac:dyDescent="0.3">
      <c r="A2" s="13"/>
      <c r="B2" s="56" t="s">
        <v>49</v>
      </c>
      <c r="C2" s="57"/>
      <c r="D2" s="57"/>
      <c r="E2" s="57"/>
      <c r="F2" s="57"/>
      <c r="G2" s="57"/>
      <c r="H2" s="57"/>
      <c r="I2" s="57"/>
      <c r="J2" s="57"/>
      <c r="K2" s="57"/>
      <c r="L2" s="57"/>
      <c r="M2" s="57"/>
      <c r="N2" s="57"/>
      <c r="O2" s="57"/>
      <c r="P2" s="57"/>
      <c r="Q2" s="57"/>
      <c r="R2" s="57"/>
      <c r="S2" s="57"/>
      <c r="T2" s="13"/>
    </row>
    <row r="3" spans="1:20" ht="15" customHeight="1" x14ac:dyDescent="0.3">
      <c r="A3" s="13"/>
      <c r="B3" s="58" t="s">
        <v>76</v>
      </c>
      <c r="C3" s="59"/>
      <c r="D3" s="59"/>
      <c r="E3" s="59"/>
      <c r="F3" s="59"/>
      <c r="G3" s="59"/>
      <c r="H3" s="59"/>
      <c r="I3" s="59"/>
      <c r="J3" s="59"/>
      <c r="K3" s="59"/>
      <c r="L3" s="59"/>
      <c r="M3" s="59"/>
      <c r="N3" s="59"/>
      <c r="O3" s="59"/>
      <c r="P3" s="59"/>
      <c r="Q3" s="59"/>
      <c r="R3" s="59"/>
      <c r="S3" s="59"/>
      <c r="T3" s="13"/>
    </row>
    <row r="4" spans="1:20" ht="6" customHeight="1" thickBot="1" x14ac:dyDescent="0.35">
      <c r="A4" s="13"/>
      <c r="B4" s="13"/>
      <c r="C4" s="13"/>
      <c r="D4" s="13"/>
      <c r="E4" s="13"/>
      <c r="F4" s="13"/>
      <c r="G4" s="13"/>
      <c r="H4" s="13"/>
      <c r="I4" s="13"/>
      <c r="J4" s="13"/>
      <c r="K4" s="13"/>
      <c r="L4" s="13"/>
      <c r="M4" s="13"/>
      <c r="N4" s="13"/>
      <c r="O4" s="13"/>
      <c r="P4" s="13"/>
      <c r="Q4" s="13"/>
      <c r="R4" s="13"/>
      <c r="S4" s="13"/>
      <c r="T4" s="13"/>
    </row>
    <row r="5" spans="1:20" ht="13.95" customHeight="1" thickTop="1" x14ac:dyDescent="0.3">
      <c r="A5" s="13"/>
      <c r="B5" s="60" t="s">
        <v>50</v>
      </c>
      <c r="C5" s="61"/>
      <c r="D5" s="61"/>
      <c r="E5" s="66" t="s">
        <v>51</v>
      </c>
      <c r="F5" s="67"/>
      <c r="G5" s="67"/>
      <c r="H5" s="70" t="s">
        <v>52</v>
      </c>
      <c r="I5" s="71"/>
      <c r="J5" s="71"/>
      <c r="K5" s="72" t="s">
        <v>53</v>
      </c>
      <c r="L5" s="73"/>
      <c r="M5" s="73"/>
      <c r="N5" s="76" t="s">
        <v>54</v>
      </c>
      <c r="O5" s="77"/>
      <c r="P5" s="77"/>
      <c r="Q5" s="78" t="s">
        <v>55</v>
      </c>
      <c r="R5" s="79"/>
      <c r="S5" s="80"/>
      <c r="T5" s="13"/>
    </row>
    <row r="6" spans="1:20" ht="24" customHeight="1" x14ac:dyDescent="0.3">
      <c r="A6" s="13"/>
      <c r="B6" s="62">
        <f>Sheet2!B4</f>
        <v>12614482.609999996</v>
      </c>
      <c r="C6" s="63"/>
      <c r="D6" s="63"/>
      <c r="E6" s="68">
        <f>Sheet2!C4</f>
        <v>30</v>
      </c>
      <c r="F6" s="69"/>
      <c r="G6" s="69"/>
      <c r="H6" s="68">
        <f>Sheet2!D4</f>
        <v>461</v>
      </c>
      <c r="I6" s="69"/>
      <c r="J6" s="69"/>
      <c r="K6" s="74">
        <f>Sheet2!B4/Sheet2!C4</f>
        <v>420482.75366666651</v>
      </c>
      <c r="L6" s="75"/>
      <c r="M6" s="75"/>
      <c r="N6" s="74">
        <f>Sheet2!B4/Sheet2!D4</f>
        <v>27363.302841648579</v>
      </c>
      <c r="O6" s="75"/>
      <c r="P6" s="75"/>
      <c r="Q6" s="62">
        <f>'Dashboard Data'!I4</f>
        <v>1051206.8841666665</v>
      </c>
      <c r="R6" s="63"/>
      <c r="S6" s="81"/>
      <c r="T6" s="13"/>
    </row>
    <row r="7" spans="1:20" ht="13.95" customHeight="1" x14ac:dyDescent="0.3">
      <c r="A7" s="13"/>
      <c r="B7" s="64" t="s">
        <v>78</v>
      </c>
      <c r="C7" s="65"/>
      <c r="D7" s="65"/>
      <c r="E7" s="64" t="str">
        <f>"Purchase orders (full year)"</f>
        <v>Purchase orders (full year)</v>
      </c>
      <c r="F7" s="65"/>
      <c r="G7" s="65"/>
      <c r="H7" s="64" t="str">
        <f>"Avg "&amp;TEXT(Sheet2!D4/Sheet2!C4,"0.0")&amp;" units / order"</f>
        <v>Avg 15.4 units / order</v>
      </c>
      <c r="I7" s="65"/>
      <c r="J7" s="65"/>
      <c r="K7" s="64" t="str">
        <f>"Total spend ÷ orders"</f>
        <v>Total spend ÷ orders</v>
      </c>
      <c r="L7" s="65"/>
      <c r="M7" s="65"/>
      <c r="N7" s="64" t="str">
        <f>"Total spend ÷ order qty"</f>
        <v>Total spend ÷ order qty</v>
      </c>
      <c r="O7" s="65"/>
      <c r="P7" s="65"/>
      <c r="Q7" s="64" t="str">
        <f>"Peak: "&amp;INDEX('Dashboard Data'!B4:B15,MATCH(MAX('Dashboard Data'!D4:D15),'Dashboard Data'!D4:D15,0))&amp;" "&amp;TEXT(MAX('Dashboard Data'!D4:D15),"$#,##0.00,,""M""")</f>
        <v>Peak: March $3.76M</v>
      </c>
      <c r="R7" s="65"/>
      <c r="S7" s="82"/>
      <c r="T7" s="13"/>
    </row>
    <row r="8" spans="1:20" ht="6" customHeight="1" x14ac:dyDescent="0.3">
      <c r="A8" s="13"/>
      <c r="B8" s="13"/>
      <c r="C8" s="13"/>
      <c r="D8" s="13"/>
      <c r="E8" s="13"/>
      <c r="F8" s="13"/>
      <c r="G8" s="13"/>
      <c r="H8" s="13"/>
      <c r="I8" s="13"/>
      <c r="J8" s="13"/>
      <c r="K8" s="13"/>
      <c r="L8" s="13"/>
      <c r="M8" s="13"/>
      <c r="N8" s="13"/>
      <c r="O8" s="13"/>
      <c r="P8" s="13"/>
      <c r="Q8" s="13"/>
      <c r="R8" s="13"/>
      <c r="S8" s="13"/>
      <c r="T8" s="13"/>
    </row>
    <row r="9" spans="1:20" ht="18" customHeight="1" thickBot="1" x14ac:dyDescent="0.45">
      <c r="A9" s="13"/>
      <c r="B9" s="83" t="s">
        <v>56</v>
      </c>
      <c r="C9" s="84"/>
      <c r="D9" s="84"/>
      <c r="E9" s="84"/>
      <c r="F9" s="84"/>
      <c r="G9" s="84"/>
      <c r="H9" s="84"/>
      <c r="I9" s="84"/>
      <c r="J9" s="84"/>
      <c r="K9" s="84"/>
      <c r="L9" s="84"/>
      <c r="M9" s="84"/>
      <c r="N9" s="84"/>
      <c r="O9" s="84"/>
      <c r="P9" s="84"/>
      <c r="Q9" s="84"/>
      <c r="R9" s="84"/>
      <c r="S9" s="84"/>
      <c r="T9" s="13"/>
    </row>
    <row r="10" spans="1:20" ht="12" customHeight="1" x14ac:dyDescent="0.3">
      <c r="A10" s="13"/>
      <c r="B10" s="13"/>
      <c r="C10" s="13"/>
      <c r="D10" s="13"/>
      <c r="E10" s="13"/>
      <c r="F10" s="13"/>
      <c r="G10" s="13"/>
      <c r="H10" s="13"/>
      <c r="I10" s="13"/>
      <c r="J10" s="13"/>
      <c r="K10" s="13"/>
      <c r="L10" s="13"/>
      <c r="M10" s="13"/>
      <c r="N10" s="13"/>
      <c r="O10" s="13"/>
      <c r="P10" s="13"/>
      <c r="Q10" s="13"/>
      <c r="R10" s="13"/>
      <c r="S10" s="13"/>
      <c r="T10" s="13"/>
    </row>
    <row r="11" spans="1:20" ht="12" customHeight="1" x14ac:dyDescent="0.3">
      <c r="A11" s="13"/>
      <c r="B11" s="13"/>
      <c r="C11" s="13"/>
      <c r="D11" s="13"/>
      <c r="E11" s="13"/>
      <c r="F11" s="13"/>
      <c r="G11" s="13"/>
      <c r="H11" s="13"/>
      <c r="I11" s="13"/>
      <c r="J11" s="13"/>
      <c r="K11" s="13"/>
      <c r="L11" s="13"/>
      <c r="M11" s="13"/>
      <c r="N11" s="13"/>
      <c r="O11" s="13"/>
      <c r="P11" s="13"/>
      <c r="Q11" s="13"/>
      <c r="R11" s="13"/>
      <c r="S11" s="13"/>
      <c r="T11" s="13"/>
    </row>
    <row r="12" spans="1:20" ht="12" customHeight="1" x14ac:dyDescent="0.3">
      <c r="A12" s="13"/>
      <c r="B12" s="13"/>
      <c r="C12" s="13"/>
      <c r="D12" s="13"/>
      <c r="E12" s="13"/>
      <c r="F12" s="13"/>
      <c r="G12" s="13"/>
      <c r="H12" s="13"/>
      <c r="I12" s="13"/>
      <c r="J12" s="13"/>
      <c r="K12" s="13"/>
      <c r="L12" s="13"/>
      <c r="M12" s="13"/>
      <c r="N12" s="13"/>
      <c r="O12" s="13"/>
      <c r="P12" s="13"/>
      <c r="Q12" s="13"/>
      <c r="R12" s="13"/>
      <c r="S12" s="13"/>
      <c r="T12" s="13"/>
    </row>
    <row r="13" spans="1:20" ht="12" customHeight="1" x14ac:dyDescent="0.3">
      <c r="A13" s="13"/>
      <c r="B13" s="13"/>
      <c r="C13" s="13"/>
      <c r="D13" s="13"/>
      <c r="E13" s="13"/>
      <c r="F13" s="13"/>
      <c r="G13" s="13"/>
      <c r="H13" s="13"/>
      <c r="I13" s="13"/>
      <c r="J13" s="13"/>
      <c r="K13" s="13"/>
      <c r="L13" s="13"/>
      <c r="M13" s="13"/>
      <c r="N13" s="13"/>
      <c r="O13" s="13"/>
      <c r="P13" s="13"/>
      <c r="Q13" s="13"/>
      <c r="R13" s="13"/>
      <c r="S13" s="13"/>
      <c r="T13" s="13"/>
    </row>
    <row r="14" spans="1:20" ht="12" customHeight="1" x14ac:dyDescent="0.3">
      <c r="A14" s="13"/>
      <c r="B14" s="13"/>
      <c r="C14" s="13"/>
      <c r="D14" s="13"/>
      <c r="E14" s="13"/>
      <c r="F14" s="13"/>
      <c r="G14" s="13"/>
      <c r="H14" s="13"/>
      <c r="I14" s="13"/>
      <c r="J14" s="13"/>
      <c r="K14" s="13"/>
      <c r="L14" s="13"/>
      <c r="M14" s="13"/>
      <c r="N14" s="13"/>
      <c r="O14" s="13"/>
      <c r="P14" s="13"/>
      <c r="Q14" s="13"/>
      <c r="R14" s="13"/>
      <c r="S14" s="13"/>
      <c r="T14" s="13"/>
    </row>
    <row r="15" spans="1:20" ht="12" customHeight="1" x14ac:dyDescent="0.3">
      <c r="A15" s="13"/>
      <c r="B15" s="13"/>
      <c r="C15" s="13"/>
      <c r="D15" s="13"/>
      <c r="E15" s="13"/>
      <c r="F15" s="13"/>
      <c r="G15" s="13"/>
      <c r="H15" s="13"/>
      <c r="I15" s="13"/>
      <c r="J15" s="13"/>
      <c r="K15" s="13"/>
      <c r="L15" s="13"/>
      <c r="M15" s="13"/>
      <c r="N15" s="13"/>
      <c r="O15" s="13"/>
      <c r="P15" s="13"/>
      <c r="Q15" s="13"/>
      <c r="R15" s="13"/>
      <c r="S15" s="13"/>
      <c r="T15" s="13"/>
    </row>
    <row r="16" spans="1:20" ht="12" customHeight="1" x14ac:dyDescent="0.3">
      <c r="A16" s="13"/>
      <c r="B16" s="13"/>
      <c r="C16" s="13"/>
      <c r="D16" s="13"/>
      <c r="E16" s="13"/>
      <c r="F16" s="13"/>
      <c r="G16" s="13"/>
      <c r="H16" s="13"/>
      <c r="I16" s="13"/>
      <c r="J16" s="13"/>
      <c r="K16" s="13"/>
      <c r="L16" s="13"/>
      <c r="M16" s="13"/>
      <c r="N16" s="13"/>
      <c r="O16" s="13"/>
      <c r="P16" s="13"/>
      <c r="Q16" s="13"/>
      <c r="R16" s="13"/>
      <c r="S16" s="13"/>
      <c r="T16" s="13"/>
    </row>
    <row r="17" spans="1:20" ht="12" customHeight="1" x14ac:dyDescent="0.3">
      <c r="A17" s="13"/>
      <c r="B17" s="13"/>
      <c r="C17" s="13"/>
      <c r="D17" s="13"/>
      <c r="E17" s="13"/>
      <c r="F17" s="13"/>
      <c r="G17" s="13"/>
      <c r="H17" s="13"/>
      <c r="I17" s="13"/>
      <c r="J17" s="13"/>
      <c r="K17" s="13"/>
      <c r="L17" s="13"/>
      <c r="M17" s="13"/>
      <c r="N17" s="13"/>
      <c r="O17" s="13"/>
      <c r="P17" s="13"/>
      <c r="Q17" s="13"/>
      <c r="R17" s="13"/>
      <c r="S17" s="13"/>
      <c r="T17" s="13"/>
    </row>
    <row r="18" spans="1:20" ht="12" customHeight="1" x14ac:dyDescent="0.3">
      <c r="A18" s="13"/>
      <c r="B18" s="13"/>
      <c r="C18" s="13"/>
      <c r="D18" s="13"/>
      <c r="E18" s="13"/>
      <c r="F18" s="13"/>
      <c r="G18" s="13"/>
      <c r="H18" s="13"/>
      <c r="I18" s="13"/>
      <c r="J18" s="13"/>
      <c r="K18" s="13"/>
      <c r="L18" s="13"/>
      <c r="M18" s="13"/>
      <c r="N18" s="13"/>
      <c r="O18" s="13"/>
      <c r="P18" s="13"/>
      <c r="Q18" s="13"/>
      <c r="R18" s="13"/>
      <c r="S18" s="13"/>
      <c r="T18" s="13"/>
    </row>
    <row r="19" spans="1:20" ht="12" customHeight="1" x14ac:dyDescent="0.3">
      <c r="A19" s="13"/>
      <c r="B19" s="13"/>
      <c r="C19" s="13"/>
      <c r="D19" s="13"/>
      <c r="E19" s="13"/>
      <c r="F19" s="13"/>
      <c r="G19" s="13"/>
      <c r="H19" s="13"/>
      <c r="I19" s="13"/>
      <c r="J19" s="13"/>
      <c r="K19" s="13"/>
      <c r="L19" s="13"/>
      <c r="M19" s="13"/>
      <c r="N19" s="13"/>
      <c r="O19" s="13"/>
      <c r="P19" s="13"/>
      <c r="Q19" s="13"/>
      <c r="R19" s="13"/>
      <c r="S19" s="13"/>
      <c r="T19" s="13"/>
    </row>
    <row r="20" spans="1:20" ht="12" customHeight="1" x14ac:dyDescent="0.3">
      <c r="A20" s="13"/>
      <c r="B20" s="13"/>
      <c r="C20" s="13"/>
      <c r="D20" s="13"/>
      <c r="E20" s="13"/>
      <c r="F20" s="13"/>
      <c r="G20" s="13"/>
      <c r="H20" s="13"/>
      <c r="I20" s="13"/>
      <c r="J20" s="13"/>
      <c r="K20" s="13"/>
      <c r="L20" s="13"/>
      <c r="M20" s="13"/>
      <c r="N20" s="13"/>
      <c r="O20" s="13"/>
      <c r="P20" s="13"/>
      <c r="Q20" s="13"/>
      <c r="R20" s="13"/>
      <c r="S20" s="13"/>
      <c r="T20" s="13"/>
    </row>
    <row r="21" spans="1:20" ht="12" customHeight="1" x14ac:dyDescent="0.3">
      <c r="A21" s="13"/>
      <c r="B21" s="13"/>
      <c r="C21" s="13"/>
      <c r="D21" s="13"/>
      <c r="E21" s="13"/>
      <c r="F21" s="13"/>
      <c r="G21" s="13"/>
      <c r="H21" s="13"/>
      <c r="I21" s="13"/>
      <c r="J21" s="13"/>
      <c r="K21" s="13"/>
      <c r="L21" s="13"/>
      <c r="M21" s="13"/>
      <c r="N21" s="13"/>
      <c r="O21" s="13"/>
      <c r="P21" s="13"/>
      <c r="Q21" s="13"/>
      <c r="R21" s="13"/>
      <c r="S21" s="13"/>
      <c r="T21" s="13"/>
    </row>
    <row r="22" spans="1:20" ht="12" customHeight="1" x14ac:dyDescent="0.3">
      <c r="A22" s="13"/>
      <c r="B22" s="13"/>
      <c r="C22" s="13"/>
      <c r="D22" s="13"/>
      <c r="E22" s="13"/>
      <c r="F22" s="13"/>
      <c r="G22" s="13"/>
      <c r="H22" s="13"/>
      <c r="I22" s="13"/>
      <c r="J22" s="13"/>
      <c r="K22" s="13"/>
      <c r="L22" s="13"/>
      <c r="M22" s="13"/>
      <c r="N22" s="13"/>
      <c r="O22" s="13"/>
      <c r="P22" s="13"/>
      <c r="Q22" s="13"/>
      <c r="R22" s="13"/>
      <c r="S22" s="13"/>
      <c r="T22" s="13"/>
    </row>
    <row r="23" spans="1:20" ht="12" customHeight="1" x14ac:dyDescent="0.3">
      <c r="A23" s="13"/>
      <c r="B23" s="13"/>
      <c r="C23" s="13"/>
      <c r="D23" s="13"/>
      <c r="E23" s="13"/>
      <c r="F23" s="13"/>
      <c r="G23" s="13"/>
      <c r="H23" s="13"/>
      <c r="I23" s="13"/>
      <c r="J23" s="13"/>
      <c r="K23" s="13"/>
      <c r="L23" s="13"/>
      <c r="M23" s="13"/>
      <c r="N23" s="13"/>
      <c r="O23" s="13"/>
      <c r="P23" s="13"/>
      <c r="Q23" s="13"/>
      <c r="R23" s="13"/>
      <c r="S23" s="13"/>
      <c r="T23" s="13"/>
    </row>
    <row r="24" spans="1:20" ht="12" customHeight="1" x14ac:dyDescent="0.3">
      <c r="A24" s="13"/>
      <c r="B24" s="13"/>
      <c r="C24" s="13"/>
      <c r="D24" s="13"/>
      <c r="E24" s="13"/>
      <c r="F24" s="13"/>
      <c r="G24" s="13"/>
      <c r="H24" s="13"/>
      <c r="I24" s="13"/>
      <c r="J24" s="13"/>
      <c r="K24" s="13"/>
      <c r="L24" s="13"/>
      <c r="M24" s="13"/>
      <c r="N24" s="13"/>
      <c r="O24" s="13"/>
      <c r="P24" s="13"/>
      <c r="Q24" s="13"/>
      <c r="R24" s="13"/>
      <c r="S24" s="13"/>
      <c r="T24" s="13"/>
    </row>
    <row r="25" spans="1:20" ht="12" customHeight="1" x14ac:dyDescent="0.3">
      <c r="A25" s="13"/>
      <c r="B25" s="13"/>
      <c r="C25" s="13"/>
      <c r="D25" s="13"/>
      <c r="E25" s="13"/>
      <c r="F25" s="13"/>
      <c r="G25" s="13"/>
      <c r="H25" s="13"/>
      <c r="I25" s="13"/>
      <c r="J25" s="13"/>
      <c r="K25" s="13"/>
      <c r="L25" s="13"/>
      <c r="M25" s="13"/>
      <c r="N25" s="13"/>
      <c r="O25" s="13"/>
      <c r="P25" s="13"/>
      <c r="Q25" s="13"/>
      <c r="R25" s="13"/>
      <c r="S25" s="13"/>
      <c r="T25" s="13"/>
    </row>
    <row r="26" spans="1:20" ht="12" customHeight="1" x14ac:dyDescent="0.3">
      <c r="A26" s="13"/>
      <c r="B26" s="13"/>
      <c r="C26" s="13"/>
      <c r="D26" s="13"/>
      <c r="E26" s="13"/>
      <c r="F26" s="13"/>
      <c r="G26" s="13"/>
      <c r="H26" s="13"/>
      <c r="I26" s="13"/>
      <c r="J26" s="13"/>
      <c r="K26" s="13"/>
      <c r="L26" s="13"/>
      <c r="M26" s="13"/>
      <c r="N26" s="13"/>
      <c r="O26" s="13"/>
      <c r="P26" s="13"/>
      <c r="Q26" s="13"/>
      <c r="R26" s="13"/>
      <c r="S26" s="13"/>
      <c r="T26" s="13"/>
    </row>
    <row r="27" spans="1:20" ht="12" customHeight="1" x14ac:dyDescent="0.3">
      <c r="A27" s="13"/>
      <c r="B27" s="13"/>
      <c r="C27" s="13"/>
      <c r="D27" s="13"/>
      <c r="E27" s="13"/>
      <c r="F27" s="13"/>
      <c r="G27" s="13"/>
      <c r="H27" s="13"/>
      <c r="I27" s="13"/>
      <c r="J27" s="13"/>
      <c r="K27" s="13"/>
      <c r="L27" s="13"/>
      <c r="M27" s="13"/>
      <c r="N27" s="13"/>
      <c r="O27" s="13"/>
      <c r="P27" s="13"/>
      <c r="Q27" s="13"/>
      <c r="R27" s="13"/>
      <c r="S27" s="13"/>
      <c r="T27" s="13"/>
    </row>
    <row r="28" spans="1:20" ht="12" customHeight="1" x14ac:dyDescent="0.3">
      <c r="A28" s="13"/>
      <c r="B28" s="13"/>
      <c r="C28" s="13"/>
      <c r="D28" s="13"/>
      <c r="E28" s="13"/>
      <c r="F28" s="13"/>
      <c r="G28" s="13"/>
      <c r="H28" s="13"/>
      <c r="I28" s="13"/>
      <c r="J28" s="13"/>
      <c r="K28" s="13"/>
      <c r="L28" s="13"/>
      <c r="M28" s="13"/>
      <c r="N28" s="13"/>
      <c r="O28" s="13"/>
      <c r="P28" s="13"/>
      <c r="Q28" s="13"/>
      <c r="R28" s="13"/>
      <c r="S28" s="13"/>
      <c r="T28" s="13"/>
    </row>
    <row r="29" spans="1:20" ht="18" customHeight="1" thickBot="1" x14ac:dyDescent="0.45">
      <c r="A29" s="13"/>
      <c r="B29" s="83" t="s">
        <v>57</v>
      </c>
      <c r="C29" s="84"/>
      <c r="D29" s="84"/>
      <c r="E29" s="84"/>
      <c r="F29" s="84"/>
      <c r="G29" s="84"/>
      <c r="H29" s="84"/>
      <c r="I29" s="84"/>
      <c r="J29" s="84"/>
      <c r="K29" s="84"/>
      <c r="L29" s="84"/>
      <c r="M29" s="84"/>
      <c r="N29" s="84"/>
      <c r="O29" s="84"/>
      <c r="P29" s="84"/>
      <c r="Q29" s="84"/>
      <c r="R29" s="84"/>
      <c r="S29" s="84"/>
      <c r="T29" s="13"/>
    </row>
    <row r="30" spans="1:20" ht="12" customHeight="1" x14ac:dyDescent="0.3">
      <c r="A30" s="13"/>
      <c r="B30" s="13"/>
      <c r="C30" s="13"/>
      <c r="D30" s="13"/>
      <c r="E30" s="13"/>
      <c r="F30" s="13"/>
      <c r="G30" s="13"/>
      <c r="H30" s="13"/>
      <c r="I30" s="13"/>
      <c r="J30" s="13"/>
      <c r="K30" s="13"/>
      <c r="L30" s="13"/>
      <c r="M30" s="13"/>
      <c r="N30" s="13"/>
      <c r="O30" s="13"/>
      <c r="P30" s="13"/>
      <c r="Q30" s="13"/>
      <c r="R30" s="13"/>
      <c r="S30" s="13"/>
      <c r="T30" s="13"/>
    </row>
    <row r="31" spans="1:20" ht="12" customHeight="1" x14ac:dyDescent="0.3">
      <c r="A31" s="13"/>
      <c r="B31" s="13"/>
      <c r="C31" s="13"/>
      <c r="D31" s="13"/>
      <c r="E31" s="13"/>
      <c r="F31" s="13"/>
      <c r="G31" s="13"/>
      <c r="H31" s="13"/>
      <c r="I31" s="13"/>
      <c r="J31" s="13"/>
      <c r="K31" s="13"/>
      <c r="L31" s="13"/>
      <c r="M31" s="13"/>
      <c r="N31" s="13"/>
      <c r="O31" s="13"/>
      <c r="P31" s="13"/>
      <c r="Q31" s="13"/>
      <c r="R31" s="13"/>
      <c r="S31" s="13"/>
      <c r="T31" s="13"/>
    </row>
    <row r="32" spans="1:20" ht="12" customHeight="1" x14ac:dyDescent="0.3">
      <c r="A32" s="13"/>
      <c r="B32" s="13"/>
      <c r="C32" s="13"/>
      <c r="D32" s="13"/>
      <c r="E32" s="13"/>
      <c r="F32" s="13"/>
      <c r="G32" s="13"/>
      <c r="H32" s="13"/>
      <c r="I32" s="13"/>
      <c r="J32" s="13"/>
      <c r="K32" s="13"/>
      <c r="L32" s="13"/>
      <c r="M32" s="13"/>
      <c r="N32" s="13"/>
      <c r="O32" s="13"/>
      <c r="P32" s="13"/>
      <c r="Q32" s="13"/>
      <c r="R32" s="13"/>
      <c r="S32" s="13"/>
      <c r="T32" s="13"/>
    </row>
    <row r="33" spans="1:20" ht="12" customHeight="1" x14ac:dyDescent="0.3">
      <c r="A33" s="13"/>
      <c r="B33" s="13"/>
      <c r="C33" s="13"/>
      <c r="D33" s="13"/>
      <c r="E33" s="13"/>
      <c r="F33" s="13"/>
      <c r="G33" s="13"/>
      <c r="H33" s="13"/>
      <c r="I33" s="13"/>
      <c r="J33" s="13"/>
      <c r="K33" s="13"/>
      <c r="L33" s="13"/>
      <c r="M33" s="13"/>
      <c r="N33" s="13"/>
      <c r="O33" s="13"/>
      <c r="P33" s="13"/>
      <c r="Q33" s="13"/>
      <c r="R33" s="13"/>
      <c r="S33" s="13"/>
      <c r="T33" s="13"/>
    </row>
    <row r="34" spans="1:20" ht="12" customHeight="1" x14ac:dyDescent="0.3">
      <c r="A34" s="13"/>
      <c r="B34" s="13"/>
      <c r="C34" s="13"/>
      <c r="D34" s="13"/>
      <c r="E34" s="13"/>
      <c r="F34" s="13"/>
      <c r="G34" s="13"/>
      <c r="H34" s="13"/>
      <c r="I34" s="13"/>
      <c r="J34" s="13"/>
      <c r="K34" s="13"/>
      <c r="L34" s="13"/>
      <c r="M34" s="13"/>
      <c r="N34" s="13"/>
      <c r="O34" s="13"/>
      <c r="P34" s="13"/>
      <c r="Q34" s="13"/>
      <c r="R34" s="13"/>
      <c r="S34" s="13"/>
      <c r="T34" s="13"/>
    </row>
    <row r="35" spans="1:20" ht="12" customHeight="1" x14ac:dyDescent="0.3">
      <c r="A35" s="13"/>
      <c r="B35" s="13"/>
      <c r="C35" s="13"/>
      <c r="D35" s="13"/>
      <c r="E35" s="13"/>
      <c r="F35" s="13"/>
      <c r="G35" s="13"/>
      <c r="H35" s="13"/>
      <c r="I35" s="13"/>
      <c r="J35" s="13"/>
      <c r="K35" s="13"/>
      <c r="L35" s="13"/>
      <c r="M35" s="13"/>
      <c r="N35" s="13"/>
      <c r="O35" s="13"/>
      <c r="P35" s="13"/>
      <c r="Q35" s="13"/>
      <c r="R35" s="13"/>
      <c r="S35" s="13"/>
      <c r="T35" s="13"/>
    </row>
    <row r="36" spans="1:20" ht="12" customHeight="1" x14ac:dyDescent="0.3">
      <c r="A36" s="13"/>
      <c r="B36" s="13"/>
      <c r="C36" s="13"/>
      <c r="D36" s="13"/>
      <c r="E36" s="13"/>
      <c r="F36" s="13"/>
      <c r="G36" s="13"/>
      <c r="H36" s="13"/>
      <c r="I36" s="13"/>
      <c r="J36" s="13"/>
      <c r="K36" s="13"/>
      <c r="L36" s="13"/>
      <c r="M36" s="13"/>
      <c r="N36" s="13"/>
      <c r="O36" s="13"/>
      <c r="P36" s="13"/>
      <c r="Q36" s="13"/>
      <c r="R36" s="13"/>
      <c r="S36" s="13"/>
      <c r="T36" s="13"/>
    </row>
    <row r="37" spans="1:20" ht="12" customHeight="1" x14ac:dyDescent="0.3">
      <c r="A37" s="13"/>
      <c r="B37" s="13"/>
      <c r="C37" s="13"/>
      <c r="D37" s="13"/>
      <c r="E37" s="13"/>
      <c r="F37" s="13"/>
      <c r="G37" s="13"/>
      <c r="H37" s="13"/>
      <c r="I37" s="13"/>
      <c r="J37" s="13"/>
      <c r="K37" s="13"/>
      <c r="L37" s="13"/>
      <c r="M37" s="13"/>
      <c r="N37" s="13"/>
      <c r="O37" s="13"/>
      <c r="P37" s="13"/>
      <c r="Q37" s="13"/>
      <c r="R37" s="13"/>
      <c r="S37" s="13"/>
      <c r="T37" s="13"/>
    </row>
    <row r="38" spans="1:20" ht="12" customHeight="1" x14ac:dyDescent="0.3">
      <c r="A38" s="13"/>
      <c r="B38" s="13"/>
      <c r="C38" s="13"/>
      <c r="D38" s="13"/>
      <c r="E38" s="13"/>
      <c r="F38" s="13"/>
      <c r="G38" s="13"/>
      <c r="H38" s="13"/>
      <c r="I38" s="13"/>
      <c r="J38" s="13"/>
      <c r="K38" s="13"/>
      <c r="L38" s="13"/>
      <c r="M38" s="13"/>
      <c r="N38" s="13"/>
      <c r="O38" s="13"/>
      <c r="P38" s="13"/>
      <c r="Q38" s="13"/>
      <c r="R38" s="13"/>
      <c r="S38" s="13"/>
      <c r="T38" s="13"/>
    </row>
    <row r="39" spans="1:20" ht="12" customHeight="1" x14ac:dyDescent="0.3">
      <c r="A39" s="13"/>
      <c r="B39" s="13"/>
      <c r="C39" s="13"/>
      <c r="D39" s="13"/>
      <c r="E39" s="13"/>
      <c r="F39" s="13"/>
      <c r="G39" s="13"/>
      <c r="H39" s="13"/>
      <c r="I39" s="13"/>
      <c r="J39" s="13"/>
      <c r="K39" s="13"/>
      <c r="L39" s="13"/>
      <c r="M39" s="13"/>
      <c r="N39" s="13"/>
      <c r="O39" s="13"/>
      <c r="P39" s="13"/>
      <c r="Q39" s="13"/>
      <c r="R39" s="13"/>
      <c r="S39" s="13"/>
      <c r="T39" s="13"/>
    </row>
    <row r="40" spans="1:20" ht="12" customHeight="1" x14ac:dyDescent="0.3">
      <c r="A40" s="13"/>
      <c r="B40" s="13"/>
      <c r="C40" s="13"/>
      <c r="D40" s="13"/>
      <c r="E40" s="13"/>
      <c r="F40" s="13"/>
      <c r="G40" s="13"/>
      <c r="H40" s="13"/>
      <c r="I40" s="13"/>
      <c r="J40" s="13"/>
      <c r="K40" s="13"/>
      <c r="L40" s="13"/>
      <c r="M40" s="13"/>
      <c r="N40" s="13"/>
      <c r="O40" s="13"/>
      <c r="P40" s="13"/>
      <c r="Q40" s="13"/>
      <c r="R40" s="13"/>
      <c r="S40" s="13"/>
      <c r="T40" s="13"/>
    </row>
    <row r="41" spans="1:20" ht="12" customHeight="1" x14ac:dyDescent="0.3">
      <c r="A41" s="13"/>
      <c r="B41" s="13"/>
      <c r="C41" s="13"/>
      <c r="D41" s="13"/>
      <c r="E41" s="13"/>
      <c r="F41" s="13"/>
      <c r="G41" s="13"/>
      <c r="H41" s="13"/>
      <c r="I41" s="13"/>
      <c r="J41" s="13"/>
      <c r="K41" s="13"/>
      <c r="L41" s="13"/>
      <c r="M41" s="13"/>
      <c r="N41" s="13"/>
      <c r="O41" s="13"/>
      <c r="P41" s="13"/>
      <c r="Q41" s="13"/>
      <c r="R41" s="13"/>
      <c r="S41" s="13"/>
      <c r="T41" s="13"/>
    </row>
    <row r="42" spans="1:20" ht="12" customHeight="1" x14ac:dyDescent="0.3">
      <c r="A42" s="13"/>
      <c r="B42" s="13"/>
      <c r="C42" s="13"/>
      <c r="D42" s="13"/>
      <c r="E42" s="13"/>
      <c r="F42" s="13"/>
      <c r="G42" s="13"/>
      <c r="H42" s="13"/>
      <c r="I42" s="13"/>
      <c r="J42" s="13"/>
      <c r="K42" s="13"/>
      <c r="L42" s="13"/>
      <c r="M42" s="13"/>
      <c r="N42" s="13"/>
      <c r="O42" s="13"/>
      <c r="P42" s="13"/>
      <c r="Q42" s="13"/>
      <c r="R42" s="13"/>
      <c r="S42" s="13"/>
      <c r="T42" s="13"/>
    </row>
    <row r="43" spans="1:20" ht="12" customHeight="1" x14ac:dyDescent="0.3">
      <c r="A43" s="13"/>
      <c r="B43" s="13"/>
      <c r="C43" s="13"/>
      <c r="D43" s="13"/>
      <c r="E43" s="13"/>
      <c r="F43" s="13"/>
      <c r="G43" s="13"/>
      <c r="H43" s="13"/>
      <c r="I43" s="13"/>
      <c r="J43" s="13"/>
      <c r="K43" s="13"/>
      <c r="L43" s="13"/>
      <c r="M43" s="13"/>
      <c r="N43" s="13"/>
      <c r="O43" s="13"/>
      <c r="P43" s="13"/>
      <c r="Q43" s="13"/>
      <c r="R43" s="13"/>
      <c r="S43" s="13"/>
      <c r="T43" s="13"/>
    </row>
    <row r="44" spans="1:20" ht="12" customHeight="1" x14ac:dyDescent="0.3">
      <c r="A44" s="13"/>
      <c r="B44" s="13"/>
      <c r="C44" s="13"/>
      <c r="D44" s="13"/>
      <c r="E44" s="13"/>
      <c r="F44" s="13"/>
      <c r="G44" s="13"/>
      <c r="H44" s="13"/>
      <c r="I44" s="13"/>
      <c r="J44" s="13"/>
      <c r="K44" s="13"/>
      <c r="L44" s="13"/>
      <c r="M44" s="13"/>
      <c r="N44" s="13"/>
      <c r="O44" s="13"/>
      <c r="P44" s="13"/>
      <c r="Q44" s="13"/>
      <c r="R44" s="13"/>
      <c r="S44" s="13"/>
      <c r="T44" s="13"/>
    </row>
    <row r="45" spans="1:20" ht="12" customHeight="1" x14ac:dyDescent="0.3">
      <c r="A45" s="13"/>
      <c r="B45" s="13"/>
      <c r="C45" s="13"/>
      <c r="D45" s="13"/>
      <c r="E45" s="13"/>
      <c r="F45" s="13"/>
      <c r="G45" s="13"/>
      <c r="H45" s="13"/>
      <c r="I45" s="13"/>
      <c r="J45" s="13"/>
      <c r="K45" s="13"/>
      <c r="L45" s="13"/>
      <c r="M45" s="13"/>
      <c r="N45" s="13"/>
      <c r="O45" s="13"/>
      <c r="P45" s="13"/>
      <c r="Q45" s="13"/>
      <c r="R45" s="13"/>
      <c r="S45" s="13"/>
      <c r="T45" s="13"/>
    </row>
    <row r="46" spans="1:20" ht="12" customHeight="1" x14ac:dyDescent="0.3">
      <c r="A46" s="13"/>
      <c r="B46" s="13"/>
      <c r="C46" s="13"/>
      <c r="D46" s="13"/>
      <c r="E46" s="13"/>
      <c r="F46" s="13"/>
      <c r="G46" s="13"/>
      <c r="H46" s="13"/>
      <c r="I46" s="13"/>
      <c r="J46" s="13"/>
      <c r="K46" s="13"/>
      <c r="L46" s="13"/>
      <c r="M46" s="13"/>
      <c r="N46" s="13"/>
      <c r="O46" s="13"/>
      <c r="P46" s="13"/>
      <c r="Q46" s="13"/>
      <c r="R46" s="13"/>
      <c r="S46" s="13"/>
      <c r="T46" s="13"/>
    </row>
    <row r="47" spans="1:20" ht="12" customHeight="1" x14ac:dyDescent="0.3">
      <c r="A47" s="13"/>
      <c r="B47" s="13"/>
      <c r="C47" s="13"/>
      <c r="D47" s="13"/>
      <c r="E47" s="13"/>
      <c r="F47" s="13"/>
      <c r="G47" s="13"/>
      <c r="H47" s="13"/>
      <c r="I47" s="13"/>
      <c r="J47" s="13"/>
      <c r="K47" s="13"/>
      <c r="L47" s="13"/>
      <c r="M47" s="13"/>
      <c r="N47" s="13"/>
      <c r="O47" s="13"/>
      <c r="P47" s="13"/>
      <c r="Q47" s="13"/>
      <c r="R47" s="13"/>
      <c r="S47" s="13"/>
      <c r="T47" s="13"/>
    </row>
    <row r="48" spans="1:20" ht="12" customHeight="1" x14ac:dyDescent="0.3">
      <c r="A48" s="13"/>
      <c r="B48" s="13"/>
      <c r="C48" s="13"/>
      <c r="D48" s="13"/>
      <c r="E48" s="13"/>
      <c r="F48" s="13"/>
      <c r="G48" s="13"/>
      <c r="H48" s="13"/>
      <c r="I48" s="13"/>
      <c r="J48" s="13"/>
      <c r="K48" s="13"/>
      <c r="L48" s="13"/>
      <c r="M48" s="13"/>
      <c r="N48" s="13"/>
      <c r="O48" s="13"/>
      <c r="P48" s="13"/>
      <c r="Q48" s="13"/>
      <c r="R48" s="13"/>
      <c r="S48" s="13"/>
      <c r="T48" s="13"/>
    </row>
    <row r="49" spans="1:9" ht="18" customHeight="1" thickBot="1" x14ac:dyDescent="0.45">
      <c r="A49" s="13"/>
      <c r="B49" s="15" t="s">
        <v>91</v>
      </c>
      <c r="C49" s="14"/>
      <c r="D49" s="14"/>
      <c r="E49" s="14"/>
      <c r="F49" s="14"/>
      <c r="G49" s="14"/>
      <c r="H49" s="14"/>
      <c r="I49" s="14"/>
    </row>
    <row r="50" spans="1:9" ht="12" customHeight="1" x14ac:dyDescent="0.3">
      <c r="A50" s="13"/>
      <c r="B50" s="16"/>
      <c r="C50" s="16"/>
      <c r="D50" s="16"/>
      <c r="E50" s="16"/>
      <c r="F50" s="16"/>
      <c r="G50" s="16"/>
      <c r="H50" s="16"/>
      <c r="I50" s="16"/>
    </row>
    <row r="51" spans="1:9" ht="12" customHeight="1" x14ac:dyDescent="0.3">
      <c r="A51" s="13"/>
      <c r="B51" s="13"/>
      <c r="C51" s="13"/>
      <c r="D51" s="13"/>
      <c r="E51" s="13"/>
      <c r="F51" s="13"/>
      <c r="G51" s="13"/>
      <c r="H51" s="13"/>
      <c r="I51" s="13"/>
    </row>
    <row r="52" spans="1:9" ht="12" customHeight="1" x14ac:dyDescent="0.3">
      <c r="A52" s="13"/>
      <c r="B52" s="13"/>
      <c r="C52" s="13"/>
      <c r="D52" s="13"/>
      <c r="E52" s="13"/>
      <c r="F52" s="13"/>
      <c r="G52" s="13"/>
      <c r="H52" s="13"/>
      <c r="I52" s="13"/>
    </row>
    <row r="53" spans="1:9" ht="12" customHeight="1" x14ac:dyDescent="0.3">
      <c r="A53" s="13"/>
      <c r="B53" s="13"/>
      <c r="C53" s="13"/>
      <c r="D53" s="13"/>
      <c r="E53" s="13"/>
      <c r="F53" s="13"/>
      <c r="G53" s="13"/>
      <c r="H53" s="13"/>
      <c r="I53" s="13"/>
    </row>
    <row r="54" spans="1:9" ht="12" customHeight="1" x14ac:dyDescent="0.3">
      <c r="A54" s="13"/>
      <c r="B54" s="13"/>
      <c r="C54" s="13"/>
      <c r="D54" s="13"/>
      <c r="E54" s="13"/>
      <c r="F54" s="13"/>
      <c r="G54" s="13"/>
      <c r="H54" s="13"/>
      <c r="I54" s="13"/>
    </row>
    <row r="55" spans="1:9" ht="12" customHeight="1" x14ac:dyDescent="0.3">
      <c r="A55" s="13"/>
      <c r="B55" s="13"/>
      <c r="C55" s="13"/>
      <c r="D55" s="13"/>
      <c r="E55" s="13"/>
      <c r="F55" s="13"/>
      <c r="G55" s="13"/>
      <c r="H55" s="13"/>
      <c r="I55" s="13"/>
    </row>
    <row r="56" spans="1:9" ht="12" customHeight="1" x14ac:dyDescent="0.3">
      <c r="A56" s="13"/>
      <c r="B56" s="13"/>
      <c r="C56" s="13"/>
      <c r="D56" s="13"/>
      <c r="E56" s="13"/>
      <c r="F56" s="13"/>
      <c r="G56" s="13"/>
      <c r="H56" s="13"/>
      <c r="I56" s="13"/>
    </row>
    <row r="57" spans="1:9" ht="12" customHeight="1" x14ac:dyDescent="0.3">
      <c r="A57" s="13"/>
      <c r="B57" s="13"/>
      <c r="C57" s="13"/>
      <c r="D57" s="13"/>
      <c r="E57" s="13"/>
      <c r="F57" s="13"/>
      <c r="G57" s="13"/>
      <c r="H57" s="13"/>
      <c r="I57" s="13"/>
    </row>
    <row r="58" spans="1:9" ht="12" customHeight="1" x14ac:dyDescent="0.3">
      <c r="A58" s="13"/>
      <c r="B58" s="13"/>
      <c r="C58" s="13"/>
      <c r="D58" s="13"/>
      <c r="E58" s="13"/>
      <c r="F58" s="13"/>
      <c r="G58" s="13"/>
      <c r="H58" s="13"/>
      <c r="I58" s="13"/>
    </row>
    <row r="59" spans="1:9" ht="12" customHeight="1" x14ac:dyDescent="0.3">
      <c r="A59" s="13"/>
      <c r="B59" s="16"/>
      <c r="C59" s="16"/>
      <c r="D59" s="16"/>
      <c r="E59" s="16"/>
      <c r="F59" s="16"/>
      <c r="G59" s="16"/>
      <c r="H59" s="16"/>
      <c r="I59" s="16"/>
    </row>
    <row r="60" spans="1:9" ht="12" customHeight="1" x14ac:dyDescent="0.3">
      <c r="A60" s="13"/>
      <c r="B60" s="13"/>
      <c r="C60" s="13"/>
      <c r="D60" s="13"/>
      <c r="E60" s="13"/>
      <c r="F60" s="13"/>
      <c r="G60" s="13"/>
      <c r="H60" s="13"/>
      <c r="I60" s="13"/>
    </row>
    <row r="61" spans="1:9" ht="12" customHeight="1" x14ac:dyDescent="0.3">
      <c r="A61" s="13"/>
      <c r="B61" s="13"/>
      <c r="C61" s="13"/>
      <c r="D61" s="13"/>
      <c r="E61" s="13"/>
      <c r="F61" s="13"/>
      <c r="G61" s="13"/>
      <c r="H61" s="13"/>
      <c r="I61" s="13"/>
    </row>
    <row r="62" spans="1:9" ht="12" customHeight="1" x14ac:dyDescent="0.3">
      <c r="A62" s="13"/>
      <c r="B62" s="13"/>
      <c r="C62" s="13"/>
      <c r="D62" s="13"/>
      <c r="E62" s="13"/>
      <c r="F62" s="13"/>
      <c r="G62" s="13"/>
      <c r="H62" s="13"/>
      <c r="I62" s="13"/>
    </row>
    <row r="63" spans="1:9" ht="12" customHeight="1" x14ac:dyDescent="0.3">
      <c r="A63" s="13"/>
      <c r="B63" s="13"/>
      <c r="C63" s="13"/>
      <c r="D63" s="13"/>
      <c r="E63" s="13"/>
      <c r="F63" s="13"/>
      <c r="G63" s="13"/>
      <c r="H63" s="13"/>
      <c r="I63" s="13"/>
    </row>
    <row r="64" spans="1:9" ht="12" customHeight="1" x14ac:dyDescent="0.3">
      <c r="A64" s="13"/>
      <c r="B64" s="13"/>
      <c r="C64" s="13"/>
      <c r="D64" s="13"/>
      <c r="E64" s="13"/>
      <c r="F64" s="13"/>
      <c r="G64" s="13"/>
      <c r="H64" s="13"/>
      <c r="I64" s="13"/>
    </row>
    <row r="65" spans="1:20" ht="12" customHeight="1" x14ac:dyDescent="0.3">
      <c r="A65" s="13"/>
      <c r="B65" s="13"/>
      <c r="C65" s="13"/>
      <c r="D65" s="13"/>
      <c r="E65" s="13"/>
      <c r="F65" s="13"/>
      <c r="G65" s="13"/>
      <c r="H65" s="13"/>
      <c r="I65" s="13"/>
    </row>
    <row r="66" spans="1:20" ht="12" customHeight="1" x14ac:dyDescent="0.3">
      <c r="A66" s="13"/>
      <c r="B66" s="13"/>
      <c r="C66" s="13"/>
      <c r="D66" s="13"/>
      <c r="E66" s="13"/>
      <c r="F66" s="13"/>
      <c r="G66" s="13"/>
      <c r="H66" s="13"/>
      <c r="I66" s="13"/>
    </row>
    <row r="67" spans="1:20" ht="12" customHeight="1" x14ac:dyDescent="0.3">
      <c r="A67" s="13"/>
      <c r="B67" s="13"/>
      <c r="C67" s="13"/>
      <c r="D67" s="13"/>
      <c r="E67" s="13"/>
      <c r="F67" s="13"/>
      <c r="G67" s="13"/>
      <c r="H67" s="13"/>
      <c r="I67" s="13"/>
    </row>
    <row r="68" spans="1:20" ht="12" customHeight="1" x14ac:dyDescent="0.3">
      <c r="A68" s="13"/>
      <c r="B68" s="13"/>
      <c r="C68" s="13"/>
      <c r="D68" s="13"/>
      <c r="E68" s="13"/>
      <c r="F68" s="13"/>
      <c r="G68" s="13"/>
      <c r="H68" s="13"/>
      <c r="I68" s="13"/>
      <c r="J68" s="13"/>
      <c r="K68" s="13"/>
      <c r="L68" s="13"/>
      <c r="M68" s="13"/>
      <c r="N68" s="13"/>
      <c r="O68" s="13"/>
      <c r="P68" s="13"/>
      <c r="Q68" s="13"/>
      <c r="R68" s="13"/>
      <c r="S68" s="13"/>
      <c r="T68" s="13"/>
    </row>
    <row r="69" spans="1:20" ht="18" customHeight="1" thickBot="1" x14ac:dyDescent="0.45">
      <c r="A69" s="13"/>
      <c r="B69" s="89" t="s">
        <v>79</v>
      </c>
      <c r="C69" s="90"/>
      <c r="D69" s="90"/>
      <c r="E69" s="90"/>
      <c r="F69" s="90"/>
      <c r="G69" s="90"/>
      <c r="H69" s="90"/>
      <c r="I69" s="90"/>
      <c r="J69" s="90"/>
      <c r="K69" s="90"/>
      <c r="L69" s="90"/>
      <c r="M69" s="90"/>
      <c r="N69" s="90"/>
      <c r="O69" s="90"/>
      <c r="P69" s="90"/>
      <c r="Q69" s="90"/>
      <c r="R69" s="90"/>
      <c r="S69" s="90"/>
      <c r="T69" s="13"/>
    </row>
    <row r="70" spans="1:20" ht="22.05" customHeight="1" thickBot="1" x14ac:dyDescent="0.35">
      <c r="A70" s="13"/>
      <c r="B70" s="85" t="str">
        <f>"Supplier concentration: "&amp;'Dashboard Data'!P4&amp;" = "&amp;TEXT('Dashboard Data'!R4,"0.0%")</f>
        <v>Supplier concentration: Raw Materials = 68.7%</v>
      </c>
      <c r="C70" s="86"/>
      <c r="D70" s="86"/>
      <c r="E70" s="86"/>
      <c r="F70" s="86"/>
      <c r="G70" s="87" t="str">
        <f>TEXT('Dashboard Data'!Q4,"$#,##0.00,,""M""")&amp;" flows into a single category. Prioritize strategic sourcing, multi-supplier contracts and price-indexation clauses to reduce exposure to commodity price swings."</f>
        <v>$8.66M flows into a single category. Prioritize strategic sourcing, multi-supplier contracts and price-indexation clauses to reduce exposure to commodity price swings.</v>
      </c>
      <c r="H70" s="88"/>
      <c r="I70" s="88"/>
      <c r="J70" s="88"/>
      <c r="K70" s="88"/>
      <c r="L70" s="88"/>
      <c r="M70" s="88"/>
      <c r="N70" s="88"/>
      <c r="O70" s="88"/>
      <c r="P70" s="88"/>
      <c r="Q70" s="88"/>
      <c r="R70" s="88"/>
      <c r="S70" s="88"/>
      <c r="T70" s="13"/>
    </row>
    <row r="71" spans="1:20" ht="22.05" customHeight="1" thickBot="1" x14ac:dyDescent="0.35">
      <c r="A71" s="13"/>
      <c r="B71" s="91" t="str">
        <f>"Operations drive "&amp;TEXT(Details!C40,"0.0%")&amp;" of spend"</f>
        <v>Operations drive 90.4% of spend</v>
      </c>
      <c r="C71" s="92"/>
      <c r="D71" s="92"/>
      <c r="E71" s="92"/>
      <c r="F71" s="92"/>
      <c r="G71" s="93" t="str">
        <f>'Dashboard Data'!V4&amp;" ("&amp;TEXT('Dashboard Data'!X4,"$#,##0.00,,""M""")&amp;") and "&amp;'Dashboard Data'!V5&amp;" ("&amp;TEXT('Dashboard Data'!X5,"$#,##0.00,,""M""")&amp;") dominate. Target cost-reduction programs here first; "&amp;'Dashboard Data'!V6&amp;" ("&amp;TEXT('Dashboard Data'!W6,"0.0%")&amp;") and "&amp;'Dashboard Data'!V7&amp;" ("&amp;TEXT('Dashboard Data'!W7,"0.0%")&amp;") are minor."</f>
        <v>Supply Chain ($5.88M) and Production ($5.53M) dominate. Target cost-reduction programs here first; Admin (4.8%) and IT (4.7%) are minor.</v>
      </c>
      <c r="H71" s="94"/>
      <c r="I71" s="94"/>
      <c r="J71" s="94"/>
      <c r="K71" s="94"/>
      <c r="L71" s="94"/>
      <c r="M71" s="94"/>
      <c r="N71" s="94"/>
      <c r="O71" s="94"/>
      <c r="P71" s="94"/>
      <c r="Q71" s="94"/>
      <c r="R71" s="94"/>
      <c r="S71" s="94"/>
      <c r="T71" s="13"/>
    </row>
    <row r="72" spans="1:20" ht="22.05" customHeight="1" thickBot="1" x14ac:dyDescent="0.35">
      <c r="A72" s="13"/>
      <c r="B72" s="95" t="str">
        <f>"Irregular monthly spend (CV "&amp;TEXT(Details!C28,"0.00")&amp;")"</f>
        <v>Irregular monthly spend (CV 1.24)</v>
      </c>
      <c r="C72" s="92"/>
      <c r="D72" s="92"/>
      <c r="E72" s="92"/>
      <c r="F72" s="92"/>
      <c r="G72" s="93" t="str">
        <f>"Peak "&amp;Details!C35&amp;" vs low "&amp;Details!C36&amp;". The top 3 months account for "&amp;TEXT(Details!C29,"0.0%")&amp;" of annual spend – smooth purchasing to improve cash-flow planning."</f>
        <v>Peak March – $3,764,104 vs low September – $4,115. The top 3 months account for 75.3% of annual spend – smooth purchasing to improve cash-flow planning.</v>
      </c>
      <c r="H72" s="94"/>
      <c r="I72" s="94"/>
      <c r="J72" s="94"/>
      <c r="K72" s="94"/>
      <c r="L72" s="94"/>
      <c r="M72" s="94"/>
      <c r="N72" s="94"/>
      <c r="O72" s="94"/>
      <c r="P72" s="94"/>
      <c r="Q72" s="94"/>
      <c r="R72" s="94"/>
      <c r="S72" s="94"/>
      <c r="T72" s="13"/>
    </row>
    <row r="73" spans="1:20" ht="22.05" customHeight="1" thickBot="1" x14ac:dyDescent="0.35">
      <c r="A73" s="13"/>
      <c r="B73" s="91" t="str">
        <f>"Front-loaded year: H1 "&amp;TEXT(Details!C37,"0.0%")&amp;" vs H2 "&amp;TEXT(Details!C38,"0.0%")</f>
        <v>Front-loaded year: H1 68.0% vs H2 32.0%</v>
      </c>
      <c r="C73" s="92"/>
      <c r="D73" s="92"/>
      <c r="E73" s="92"/>
      <c r="F73" s="92"/>
      <c r="G73" s="93" t="str">
        <f>"Q1 alone is "&amp;TEXT('Dashboard Data'!L4,"$#,##0.00,,""M""")&amp;" ("&amp;TEXT('Dashboard Data'!M4,"0.0%")&amp;"). Q3 is the quietest quarter at "&amp;TEXT('Dashboard Data'!L6,"$#,##0.00,,""M""")&amp;" – use it for supplier negotiations ahead of the Q4/Q1 peak."</f>
        <v>Q1 alone is $7.83M (62.1%). Q3 is the quietest quarter at $1.55M – use it for supplier negotiations ahead of the Q4/Q1 peak.</v>
      </c>
      <c r="H73" s="94"/>
      <c r="I73" s="94"/>
      <c r="J73" s="94"/>
      <c r="K73" s="94"/>
      <c r="L73" s="94"/>
      <c r="M73" s="94"/>
      <c r="N73" s="94"/>
      <c r="O73" s="94"/>
      <c r="P73" s="94"/>
      <c r="Q73" s="94"/>
      <c r="R73" s="94"/>
      <c r="S73" s="94"/>
      <c r="T73" s="13"/>
    </row>
    <row r="74" spans="1:20" ht="22.05" customHeight="1" thickBot="1" x14ac:dyDescent="0.35">
      <c r="A74" s="13"/>
      <c r="B74" s="100" t="str">
        <f>"High-value, low-volume purchasing"</f>
        <v>High-value, low-volume purchasing</v>
      </c>
      <c r="C74" s="92"/>
      <c r="D74" s="92"/>
      <c r="E74" s="92"/>
      <c r="F74" s="92"/>
      <c r="G74" s="93" t="str">
        <f>TEXT(Sheet2!C4,"0")&amp;" orders averaging "&amp;TEXT(K6,"$#,##0.0,""K""")&amp;" each and "&amp;TEXT(N6,"$#,##0.0,""K""")&amp;" per unit. Every order is material – enforce approval workflows and competitive bids above a set threshold."</f>
        <v>30 orders averaging $420.5K each and $27.4K per unit. Every order is material – enforce approval workflows and competitive bids above a set threshold.</v>
      </c>
      <c r="H74" s="94"/>
      <c r="I74" s="94"/>
      <c r="J74" s="94"/>
      <c r="K74" s="94"/>
      <c r="L74" s="94"/>
      <c r="M74" s="94"/>
      <c r="N74" s="94"/>
      <c r="O74" s="94"/>
      <c r="P74" s="94"/>
      <c r="Q74" s="94"/>
      <c r="R74" s="94"/>
      <c r="S74" s="94"/>
      <c r="T74" s="13"/>
    </row>
    <row r="75" spans="1:20" ht="22.05" customHeight="1" thickBot="1" x14ac:dyDescent="0.35">
      <c r="A75" s="13"/>
      <c r="B75" s="91" t="str">
        <f>'Dashboard Data'!P5&amp;" is the #2 category ("&amp;TEXT('Dashboard Data'!R5,"0.0%")&amp;")"</f>
        <v>IT Equipment is the #2 category (18.9%)</v>
      </c>
      <c r="C75" s="92"/>
      <c r="D75" s="92"/>
      <c r="E75" s="92"/>
      <c r="F75" s="92"/>
      <c r="G75" s="93" t="str">
        <f>TEXT('Dashboard Data'!Q5,"$#,##0.00,,""M""")&amp;" – review asset lifecycle, lease-vs-buy options and volume agreements with preferred vendors."</f>
        <v>$2.39M – review asset lifecycle, lease-vs-buy options and volume agreements with preferred vendors.</v>
      </c>
      <c r="H75" s="94"/>
      <c r="I75" s="94"/>
      <c r="J75" s="94"/>
      <c r="K75" s="94"/>
      <c r="L75" s="94"/>
      <c r="M75" s="94"/>
      <c r="N75" s="94"/>
      <c r="O75" s="94"/>
      <c r="P75" s="94"/>
      <c r="Q75" s="94"/>
      <c r="R75" s="94"/>
      <c r="S75" s="94"/>
      <c r="T75" s="13"/>
    </row>
    <row r="76" spans="1:20" ht="22.05" customHeight="1" thickBot="1" x14ac:dyDescent="0.35">
      <c r="A76" s="13"/>
      <c r="B76" s="91" t="str">
        <f>'Dashboard Data'!P6&amp;" is "&amp;TEXT('Dashboard Data'!R6,"0.0%")&amp;" of spend"</f>
        <v>Logistics is 9.5% of spend</v>
      </c>
      <c r="C76" s="92"/>
      <c r="D76" s="92"/>
      <c r="E76" s="92"/>
      <c r="F76" s="92"/>
      <c r="G76" s="93" t="str">
        <f>TEXT('Dashboard Data'!Q6,"$#,##0.00,,""M""")&amp;" – benchmark freight rates and consolidate shipments, especially around peak months."</f>
        <v>$1.20M – benchmark freight rates and consolidate shipments, especially around peak months.</v>
      </c>
      <c r="H76" s="94"/>
      <c r="I76" s="94"/>
      <c r="J76" s="94"/>
      <c r="K76" s="94"/>
      <c r="L76" s="94"/>
      <c r="M76" s="94"/>
      <c r="N76" s="94"/>
      <c r="O76" s="94"/>
      <c r="P76" s="94"/>
      <c r="Q76" s="94"/>
      <c r="R76" s="94"/>
      <c r="S76" s="94"/>
      <c r="T76" s="13"/>
    </row>
    <row r="77" spans="1:20" ht="22.05" customHeight="1" thickBot="1" x14ac:dyDescent="0.35">
      <c r="A77" s="13"/>
      <c r="B77" s="96" t="str">
        <f>"Tail spend is minimal ("&amp;TEXT(Details!C41,"0.0%")&amp;")"</f>
        <v>Tail spend is minimal (0.3%)</v>
      </c>
      <c r="C77" s="97"/>
      <c r="D77" s="97"/>
      <c r="E77" s="97"/>
      <c r="F77" s="97"/>
      <c r="G77" s="98" t="str">
        <f>"Small categories ("&amp;'Dashboard Data'!P8&amp;", "&amp;'Dashboard Data'!P9&amp;") can be consolidated onto catalogs / P-cards to cut processing cost rather than negotiating price."</f>
        <v>Small categories (Packaging, Office Supplies) can be consolidated onto catalogs / P-cards to cut processing cost rather than negotiating price.</v>
      </c>
      <c r="H77" s="99"/>
      <c r="I77" s="99"/>
      <c r="J77" s="99"/>
      <c r="K77" s="99"/>
      <c r="L77" s="99"/>
      <c r="M77" s="99"/>
      <c r="N77" s="99"/>
      <c r="O77" s="99"/>
      <c r="P77" s="99"/>
      <c r="Q77" s="99"/>
      <c r="R77" s="99"/>
      <c r="S77" s="99"/>
      <c r="T77" s="13"/>
    </row>
    <row r="78" spans="1:20" ht="6" customHeight="1" x14ac:dyDescent="0.3">
      <c r="A78" s="13"/>
      <c r="B78" s="13"/>
      <c r="C78" s="13"/>
      <c r="D78" s="13"/>
      <c r="E78" s="13"/>
      <c r="F78" s="13"/>
      <c r="G78" s="13"/>
      <c r="H78" s="13"/>
      <c r="I78" s="13"/>
      <c r="J78" s="13"/>
      <c r="K78" s="13"/>
      <c r="L78" s="13"/>
      <c r="M78" s="13"/>
      <c r="N78" s="13"/>
      <c r="O78" s="13"/>
      <c r="P78" s="13"/>
      <c r="Q78" s="13"/>
      <c r="R78" s="13"/>
      <c r="S78" s="13"/>
      <c r="T78" s="13"/>
    </row>
    <row r="79" spans="1:20" ht="6" customHeight="1" x14ac:dyDescent="0.3">
      <c r="B79" s="54" t="s">
        <v>92</v>
      </c>
    </row>
    <row r="80" spans="1:20" ht="18" customHeight="1" x14ac:dyDescent="0.3"/>
    <row r="81" ht="24" customHeight="1" x14ac:dyDescent="0.3"/>
    <row r="82" ht="12.45" customHeight="1" x14ac:dyDescent="0.3"/>
    <row r="83" ht="12.45" customHeight="1" x14ac:dyDescent="0.3"/>
    <row r="84" ht="12.45" customHeight="1" x14ac:dyDescent="0.3"/>
    <row r="85" ht="12.45" customHeight="1" x14ac:dyDescent="0.3"/>
    <row r="86" ht="12.45" customHeight="1" x14ac:dyDescent="0.3"/>
    <row r="87" ht="12.45" customHeight="1" x14ac:dyDescent="0.3"/>
    <row r="88" ht="12.45" customHeight="1" x14ac:dyDescent="0.3"/>
    <row r="89" ht="12.45" customHeight="1" x14ac:dyDescent="0.3"/>
    <row r="90" ht="12.45" customHeight="1" x14ac:dyDescent="0.3"/>
    <row r="91" ht="12.45" customHeight="1" x14ac:dyDescent="0.3"/>
    <row r="92" ht="12.45" customHeight="1" x14ac:dyDescent="0.3"/>
    <row r="93" ht="12.45" customHeight="1" x14ac:dyDescent="0.3"/>
    <row r="94" ht="12.45" customHeight="1" x14ac:dyDescent="0.3"/>
    <row r="95" ht="6" customHeight="1" x14ac:dyDescent="0.3"/>
    <row r="96" ht="6" customHeight="1" x14ac:dyDescent="0.3"/>
  </sheetData>
  <mergeCells count="39">
    <mergeCell ref="B72:F72"/>
    <mergeCell ref="G72:S72"/>
    <mergeCell ref="B73:F73"/>
    <mergeCell ref="G73:S73"/>
    <mergeCell ref="B77:F77"/>
    <mergeCell ref="G77:S77"/>
    <mergeCell ref="B74:F74"/>
    <mergeCell ref="G74:S74"/>
    <mergeCell ref="B75:F75"/>
    <mergeCell ref="G75:S75"/>
    <mergeCell ref="B76:F76"/>
    <mergeCell ref="G76:S76"/>
    <mergeCell ref="B29:S29"/>
    <mergeCell ref="B70:F70"/>
    <mergeCell ref="G70:S70"/>
    <mergeCell ref="B69:S69"/>
    <mergeCell ref="B71:F71"/>
    <mergeCell ref="G71:S71"/>
    <mergeCell ref="N7:P7"/>
    <mergeCell ref="Q5:S5"/>
    <mergeCell ref="Q6:S6"/>
    <mergeCell ref="Q7:S7"/>
    <mergeCell ref="B9:S9"/>
    <mergeCell ref="B2:S2"/>
    <mergeCell ref="B3:S3"/>
    <mergeCell ref="B5:D5"/>
    <mergeCell ref="B6:D6"/>
    <mergeCell ref="B7:D7"/>
    <mergeCell ref="E5:G5"/>
    <mergeCell ref="E6:G6"/>
    <mergeCell ref="E7:G7"/>
    <mergeCell ref="H5:J5"/>
    <mergeCell ref="H6:J6"/>
    <mergeCell ref="H7:J7"/>
    <mergeCell ref="K5:M5"/>
    <mergeCell ref="K6:M6"/>
    <mergeCell ref="K7:M7"/>
    <mergeCell ref="N5:P5"/>
    <mergeCell ref="N6:P6"/>
  </mergeCells>
  <pageMargins left="0.7" right="0.7" top="0.75" bottom="0.75" header="0.3" footer="0.3"/>
  <pageSetup scale="69"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8619E-AA0B-4D70-A079-23C2D5964B77}">
  <dimension ref="B2:S41"/>
  <sheetViews>
    <sheetView topLeftCell="A16" workbookViewId="0">
      <selection activeCell="B10" sqref="B10"/>
    </sheetView>
  </sheetViews>
  <sheetFormatPr defaultRowHeight="14.4" x14ac:dyDescent="0.3"/>
  <cols>
    <col min="1" max="1" width="3.33203125" customWidth="1"/>
    <col min="2" max="2" width="43.5546875" customWidth="1"/>
    <col min="3" max="3" width="20.33203125" customWidth="1"/>
    <col min="4" max="8" width="16.33203125" customWidth="1"/>
    <col min="9" max="9" width="3.33203125" customWidth="1"/>
    <col min="10" max="10" width="10.77734375" customWidth="1"/>
    <col min="11" max="11" width="34.21875" customWidth="1"/>
    <col min="12" max="14" width="17.5546875" customWidth="1"/>
    <col min="15" max="15" width="3.33203125" customWidth="1"/>
    <col min="16" max="16" width="10.77734375" customWidth="1"/>
    <col min="17" max="17" width="24.109375" customWidth="1"/>
    <col min="18" max="19" width="17.5546875" customWidth="1"/>
  </cols>
  <sheetData>
    <row r="2" spans="2:19" ht="21" x14ac:dyDescent="0.4">
      <c r="B2" s="19" t="s">
        <v>84</v>
      </c>
    </row>
    <row r="3" spans="2:19" x14ac:dyDescent="0.3">
      <c r="B3" s="20" t="s">
        <v>85</v>
      </c>
    </row>
    <row r="5" spans="2:19" ht="15.6" x14ac:dyDescent="0.3">
      <c r="B5" s="28" t="s">
        <v>86</v>
      </c>
      <c r="C5" s="29"/>
      <c r="D5" s="29"/>
      <c r="E5" s="29"/>
      <c r="F5" s="29"/>
      <c r="G5" s="29"/>
      <c r="H5" s="29"/>
      <c r="I5" s="29"/>
      <c r="J5" s="28" t="s">
        <v>87</v>
      </c>
      <c r="K5" s="29"/>
      <c r="L5" s="29"/>
      <c r="M5" s="29"/>
      <c r="N5" s="29"/>
      <c r="O5" s="29"/>
      <c r="P5" s="28" t="s">
        <v>88</v>
      </c>
      <c r="Q5" s="29"/>
      <c r="R5" s="29"/>
      <c r="S5" s="29"/>
    </row>
    <row r="6" spans="2:19" x14ac:dyDescent="0.3">
      <c r="B6" s="30" t="s">
        <v>33</v>
      </c>
      <c r="C6" s="31" t="s">
        <v>34</v>
      </c>
      <c r="D6" s="31" t="s">
        <v>35</v>
      </c>
      <c r="E6" s="31" t="s">
        <v>36</v>
      </c>
      <c r="F6" s="31" t="s">
        <v>37</v>
      </c>
      <c r="G6" s="31" t="s">
        <v>38</v>
      </c>
      <c r="H6" s="32" t="s">
        <v>39</v>
      </c>
      <c r="I6" s="29"/>
      <c r="J6" s="30" t="s">
        <v>47</v>
      </c>
      <c r="K6" s="31" t="s">
        <v>11</v>
      </c>
      <c r="L6" s="31" t="s">
        <v>35</v>
      </c>
      <c r="M6" s="31" t="s">
        <v>42</v>
      </c>
      <c r="N6" s="32" t="s">
        <v>39</v>
      </c>
      <c r="O6" s="29"/>
      <c r="P6" s="30" t="s">
        <v>47</v>
      </c>
      <c r="Q6" s="31" t="s">
        <v>48</v>
      </c>
      <c r="R6" s="31" t="s">
        <v>35</v>
      </c>
      <c r="S6" s="32" t="s">
        <v>42</v>
      </c>
    </row>
    <row r="7" spans="2:19" x14ac:dyDescent="0.3">
      <c r="B7" s="33" t="str">
        <f>'Dashboard Data'!B4</f>
        <v>January</v>
      </c>
      <c r="C7" s="34" t="str">
        <f>'Dashboard Data'!C4</f>
        <v>Q1</v>
      </c>
      <c r="D7" s="35">
        <f>'Dashboard Data'!D4</f>
        <v>3480552.5999999996</v>
      </c>
      <c r="E7" s="36">
        <f>'Dashboard Data'!E4</f>
        <v>0.27591719039200452</v>
      </c>
      <c r="F7" s="36"/>
      <c r="G7" s="36">
        <f>'Dashboard Data'!G4</f>
        <v>2.311006284704054</v>
      </c>
      <c r="H7" s="37">
        <f>'Dashboard Data'!H4</f>
        <v>0.27591719039200452</v>
      </c>
      <c r="I7" s="29"/>
      <c r="J7" s="38">
        <f>'Dashboard Data'!O4</f>
        <v>1</v>
      </c>
      <c r="K7" s="34" t="str">
        <f>'Dashboard Data'!P4</f>
        <v>Raw Materials</v>
      </c>
      <c r="L7" s="35">
        <f>'Dashboard Data'!Q4</f>
        <v>8664488.3499999978</v>
      </c>
      <c r="M7" s="36">
        <f>'Dashboard Data'!R4</f>
        <v>0.68686830985293978</v>
      </c>
      <c r="N7" s="37">
        <f>'Dashboard Data'!S4</f>
        <v>0.68686830985293978</v>
      </c>
      <c r="O7" s="29"/>
      <c r="P7" s="38">
        <f>'Dashboard Data'!U4</f>
        <v>1</v>
      </c>
      <c r="Q7" s="34" t="str">
        <f>'Dashboard Data'!V4</f>
        <v>Supply Chain</v>
      </c>
      <c r="R7" s="35">
        <f>'Dashboard Data'!X4</f>
        <v>5880295.1000000006</v>
      </c>
      <c r="S7" s="37">
        <f>'Dashboard Data'!W4</f>
        <v>0.46615428327900343</v>
      </c>
    </row>
    <row r="8" spans="2:19" x14ac:dyDescent="0.3">
      <c r="B8" s="33" t="str">
        <f>'Dashboard Data'!B5</f>
        <v>February</v>
      </c>
      <c r="C8" s="34" t="str">
        <f>'Dashboard Data'!C5</f>
        <v>Q1</v>
      </c>
      <c r="D8" s="35">
        <f>'Dashboard Data'!D5</f>
        <v>584841.79999999993</v>
      </c>
      <c r="E8" s="36">
        <f>'Dashboard Data'!E5</f>
        <v>4.6362725930302738E-2</v>
      </c>
      <c r="F8" s="36">
        <f>'Dashboard Data'!F5</f>
        <v>-0.83196869370685567</v>
      </c>
      <c r="G8" s="36">
        <f>'Dashboard Data'!G5</f>
        <v>-0.44364728883636706</v>
      </c>
      <c r="H8" s="37">
        <f>'Dashboard Data'!H5</f>
        <v>0.32227991632230724</v>
      </c>
      <c r="I8" s="29"/>
      <c r="J8" s="38">
        <f>'Dashboard Data'!O5</f>
        <v>2</v>
      </c>
      <c r="K8" s="34" t="str">
        <f>'Dashboard Data'!P5</f>
        <v>IT Equipment</v>
      </c>
      <c r="L8" s="35">
        <f>'Dashboard Data'!Q5</f>
        <v>2386315.2999999998</v>
      </c>
      <c r="M8" s="36">
        <f>'Dashboard Data'!R5</f>
        <v>0.1891726655604784</v>
      </c>
      <c r="N8" s="37">
        <f>'Dashboard Data'!S5</f>
        <v>0.87604097541341819</v>
      </c>
      <c r="O8" s="29"/>
      <c r="P8" s="38">
        <f>'Dashboard Data'!U5</f>
        <v>2</v>
      </c>
      <c r="Q8" s="34" t="str">
        <f>'Dashboard Data'!V5</f>
        <v>Production</v>
      </c>
      <c r="R8" s="35">
        <f>'Dashboard Data'!X5</f>
        <v>5528617.8499999996</v>
      </c>
      <c r="S8" s="37">
        <f>'Dashboard Data'!W5</f>
        <v>0.43827543474650693</v>
      </c>
    </row>
    <row r="9" spans="2:19" x14ac:dyDescent="0.3">
      <c r="B9" s="33" t="str">
        <f>'Dashboard Data'!B6</f>
        <v>March</v>
      </c>
      <c r="C9" s="34" t="str">
        <f>'Dashboard Data'!C6</f>
        <v>Q1</v>
      </c>
      <c r="D9" s="35">
        <f>'Dashboard Data'!D6</f>
        <v>3764104.45</v>
      </c>
      <c r="E9" s="36">
        <f>'Dashboard Data'!E6</f>
        <v>0.29839546863507865</v>
      </c>
      <c r="F9" s="36">
        <f>'Dashboard Data'!F6</f>
        <v>5.4361070805814506</v>
      </c>
      <c r="G9" s="36">
        <f>'Dashboard Data'!G6</f>
        <v>2.5807456236209445</v>
      </c>
      <c r="H9" s="37">
        <f>'Dashboard Data'!H6</f>
        <v>0.62067538495738594</v>
      </c>
      <c r="I9" s="29"/>
      <c r="J9" s="38">
        <f>'Dashboard Data'!O6</f>
        <v>3</v>
      </c>
      <c r="K9" s="34" t="str">
        <f>'Dashboard Data'!P6</f>
        <v>Logistics</v>
      </c>
      <c r="L9" s="35">
        <f>'Dashboard Data'!Q6</f>
        <v>1197774.23</v>
      </c>
      <c r="M9" s="36">
        <f>'Dashboard Data'!R6</f>
        <v>9.4952307362212177E-2</v>
      </c>
      <c r="N9" s="37">
        <f>'Dashboard Data'!S6</f>
        <v>0.97099328277563035</v>
      </c>
      <c r="O9" s="29"/>
      <c r="P9" s="38">
        <f>'Dashboard Data'!U6</f>
        <v>3</v>
      </c>
      <c r="Q9" s="34" t="str">
        <f>'Dashboard Data'!V6</f>
        <v>Admin</v>
      </c>
      <c r="R9" s="35">
        <f>'Dashboard Data'!X6</f>
        <v>610542.52</v>
      </c>
      <c r="S9" s="37">
        <f>'Dashboard Data'!W6</f>
        <v>4.8400123800242029E-2</v>
      </c>
    </row>
    <row r="10" spans="2:19" x14ac:dyDescent="0.3">
      <c r="B10" s="33" t="str">
        <f>'Dashboard Data'!B7</f>
        <v>April</v>
      </c>
      <c r="C10" s="34" t="str">
        <f>'Dashboard Data'!C7</f>
        <v>Q2</v>
      </c>
      <c r="D10" s="35">
        <f>'Dashboard Data'!D7</f>
        <v>129550.41</v>
      </c>
      <c r="E10" s="36">
        <f>'Dashboard Data'!E7</f>
        <v>1.0269974124606606E-2</v>
      </c>
      <c r="F10" s="36">
        <f>'Dashboard Data'!F7</f>
        <v>-0.96558267398769981</v>
      </c>
      <c r="G10" s="36">
        <f>'Dashboard Data'!G7</f>
        <v>-0.8767603105047207</v>
      </c>
      <c r="H10" s="37">
        <f>'Dashboard Data'!H7</f>
        <v>0.63094535908199256</v>
      </c>
      <c r="I10" s="29"/>
      <c r="J10" s="38">
        <f>'Dashboard Data'!O7</f>
        <v>4</v>
      </c>
      <c r="K10" s="34" t="str">
        <f>'Dashboard Data'!P7</f>
        <v>MRO</v>
      </c>
      <c r="L10" s="35">
        <f>'Dashboard Data'!Q7</f>
        <v>329113.49</v>
      </c>
      <c r="M10" s="36">
        <f>'Dashboard Data'!R7</f>
        <v>2.6090129906643878E-2</v>
      </c>
      <c r="N10" s="37">
        <f>'Dashboard Data'!S7</f>
        <v>0.99708341268227418</v>
      </c>
      <c r="O10" s="29"/>
      <c r="P10" s="38">
        <f>'Dashboard Data'!U7</f>
        <v>4</v>
      </c>
      <c r="Q10" s="34" t="str">
        <f>'Dashboard Data'!V7</f>
        <v>IT</v>
      </c>
      <c r="R10" s="35">
        <f>'Dashboard Data'!X7</f>
        <v>595027.1399999999</v>
      </c>
      <c r="S10" s="37">
        <f>'Dashboard Data'!W7</f>
        <v>4.7170158174247946E-2</v>
      </c>
    </row>
    <row r="11" spans="2:19" x14ac:dyDescent="0.3">
      <c r="B11" s="33" t="str">
        <f>'Dashboard Data'!B8</f>
        <v>May</v>
      </c>
      <c r="C11" s="34" t="str">
        <f>'Dashboard Data'!C8</f>
        <v>Q2</v>
      </c>
      <c r="D11" s="35">
        <f>'Dashboard Data'!D8</f>
        <v>454227.29999999993</v>
      </c>
      <c r="E11" s="36">
        <f>'Dashboard Data'!E8</f>
        <v>3.600839717674318E-2</v>
      </c>
      <c r="F11" s="36">
        <f>'Dashboard Data'!F8</f>
        <v>2.5061818793163213</v>
      </c>
      <c r="G11" s="36">
        <f>'Dashboard Data'!G8</f>
        <v>-0.56789923387908181</v>
      </c>
      <c r="H11" s="37">
        <f>'Dashboard Data'!H8</f>
        <v>0.66695375625873576</v>
      </c>
      <c r="I11" s="29"/>
      <c r="J11" s="38">
        <f>'Dashboard Data'!O8</f>
        <v>5</v>
      </c>
      <c r="K11" s="34" t="str">
        <f>'Dashboard Data'!P8</f>
        <v>Packaging</v>
      </c>
      <c r="L11" s="35">
        <f>'Dashboard Data'!Q8</f>
        <v>20395.739999999998</v>
      </c>
      <c r="M11" s="36">
        <f>'Dashboard Data'!R8</f>
        <v>1.6168510933481722E-3</v>
      </c>
      <c r="N11" s="37">
        <f>'Dashboard Data'!S8</f>
        <v>0.99870026377562238</v>
      </c>
      <c r="O11" s="29"/>
      <c r="P11" s="39"/>
      <c r="Q11" s="40" t="s">
        <v>41</v>
      </c>
      <c r="R11" s="41">
        <f>'Dashboard Data'!X8</f>
        <v>12614482.609999999</v>
      </c>
      <c r="S11" s="42">
        <f>'Dashboard Data'!W8</f>
        <v>1.0000000000000002</v>
      </c>
    </row>
    <row r="12" spans="2:19" x14ac:dyDescent="0.3">
      <c r="B12" s="33" t="str">
        <f>'Dashboard Data'!B9</f>
        <v>June</v>
      </c>
      <c r="C12" s="34" t="str">
        <f>'Dashboard Data'!C9</f>
        <v>Q2</v>
      </c>
      <c r="D12" s="35">
        <f>'Dashboard Data'!D9</f>
        <v>158629.15</v>
      </c>
      <c r="E12" s="36">
        <f>'Dashboard Data'!E9</f>
        <v>1.2575161019624253E-2</v>
      </c>
      <c r="F12" s="36">
        <f>'Dashboard Data'!F9</f>
        <v>-0.65077143095538292</v>
      </c>
      <c r="G12" s="36">
        <f>'Dashboard Data'!G9</f>
        <v>-0.84909806776450902</v>
      </c>
      <c r="H12" s="37">
        <f>'Dashboard Data'!H9</f>
        <v>0.67952891727836007</v>
      </c>
      <c r="I12" s="29"/>
      <c r="J12" s="38">
        <f>'Dashboard Data'!O9</f>
        <v>6</v>
      </c>
      <c r="K12" s="34" t="str">
        <f>'Dashboard Data'!P9</f>
        <v>Office Supplies</v>
      </c>
      <c r="L12" s="35">
        <f>'Dashboard Data'!Q9</f>
        <v>16395.5</v>
      </c>
      <c r="M12" s="36">
        <f>'Dashboard Data'!R9</f>
        <v>1.2997362243777357E-3</v>
      </c>
      <c r="N12" s="37">
        <f>'Dashboard Data'!S9</f>
        <v>1.0000000000000002</v>
      </c>
      <c r="O12" s="29"/>
      <c r="P12" s="29"/>
      <c r="Q12" s="29"/>
      <c r="R12" s="29"/>
      <c r="S12" s="29"/>
    </row>
    <row r="13" spans="2:19" x14ac:dyDescent="0.3">
      <c r="B13" s="33" t="str">
        <f>'Dashboard Data'!B10</f>
        <v>July</v>
      </c>
      <c r="C13" s="34" t="str">
        <f>'Dashboard Data'!C10</f>
        <v>Q3</v>
      </c>
      <c r="D13" s="35">
        <f>'Dashboard Data'!D10</f>
        <v>278027.78000000003</v>
      </c>
      <c r="E13" s="36">
        <f>'Dashboard Data'!E10</f>
        <v>2.2040363334410278E-2</v>
      </c>
      <c r="F13" s="36">
        <f>'Dashboard Data'!F10</f>
        <v>0.75269034726593476</v>
      </c>
      <c r="G13" s="36">
        <f>'Dashboard Data'!G10</f>
        <v>-0.73551563998707659</v>
      </c>
      <c r="H13" s="37">
        <f>'Dashboard Data'!H10</f>
        <v>0.70156928061277024</v>
      </c>
      <c r="I13" s="29"/>
      <c r="J13" s="39"/>
      <c r="K13" s="40" t="s">
        <v>41</v>
      </c>
      <c r="L13" s="41">
        <f>'Dashboard Data'!Q10</f>
        <v>12614482.609999999</v>
      </c>
      <c r="M13" s="43">
        <f>'Dashboard Data'!R10</f>
        <v>1.0000000000000002</v>
      </c>
      <c r="N13" s="42"/>
      <c r="O13" s="29"/>
      <c r="P13" s="29"/>
      <c r="Q13" s="29"/>
      <c r="R13" s="29"/>
      <c r="S13" s="29"/>
    </row>
    <row r="14" spans="2:19" x14ac:dyDescent="0.3">
      <c r="B14" s="33" t="str">
        <f>'Dashboard Data'!B11</f>
        <v>August</v>
      </c>
      <c r="C14" s="34" t="str">
        <f>'Dashboard Data'!C11</f>
        <v>Q3</v>
      </c>
      <c r="D14" s="35">
        <f>'Dashboard Data'!D11</f>
        <v>1265283.8699999999</v>
      </c>
      <c r="E14" s="36">
        <f>'Dashboard Data'!E11</f>
        <v>0.10030406391752915</v>
      </c>
      <c r="F14" s="36">
        <f>'Dashboard Data'!F11</f>
        <v>3.5509260621366678</v>
      </c>
      <c r="G14" s="36">
        <f>'Dashboard Data'!G11</f>
        <v>0.20364876701034995</v>
      </c>
      <c r="H14" s="37">
        <f>'Dashboard Data'!H11</f>
        <v>0.80187334453029935</v>
      </c>
      <c r="I14" s="29"/>
      <c r="J14" s="29"/>
      <c r="K14" s="29"/>
      <c r="L14" s="29"/>
      <c r="M14" s="29"/>
      <c r="N14" s="29"/>
      <c r="O14" s="29"/>
      <c r="P14" s="29"/>
      <c r="Q14" s="29"/>
      <c r="R14" s="29"/>
      <c r="S14" s="29"/>
    </row>
    <row r="15" spans="2:19" x14ac:dyDescent="0.3">
      <c r="B15" s="33" t="str">
        <f>'Dashboard Data'!B12</f>
        <v>September</v>
      </c>
      <c r="C15" s="34" t="str">
        <f>'Dashboard Data'!C12</f>
        <v>Q3</v>
      </c>
      <c r="D15" s="35">
        <f>'Dashboard Data'!D12</f>
        <v>4115.4399999999996</v>
      </c>
      <c r="E15" s="36">
        <f>'Dashboard Data'!E12</f>
        <v>3.2624722925516796E-4</v>
      </c>
      <c r="F15" s="36">
        <f>'Dashboard Data'!F12</f>
        <v>-0.99674741763680275</v>
      </c>
      <c r="G15" s="36">
        <f>'Dashboard Data'!G12</f>
        <v>-0.99608503324893793</v>
      </c>
      <c r="H15" s="37">
        <f>'Dashboard Data'!H12</f>
        <v>0.80219959175955446</v>
      </c>
      <c r="I15" s="29"/>
      <c r="J15" s="29"/>
      <c r="K15" s="29"/>
      <c r="L15" s="29"/>
      <c r="M15" s="29"/>
      <c r="N15" s="29"/>
      <c r="O15" s="29"/>
      <c r="P15" s="29"/>
      <c r="Q15" s="29"/>
      <c r="R15" s="29"/>
      <c r="S15" s="29"/>
    </row>
    <row r="16" spans="2:19" x14ac:dyDescent="0.3">
      <c r="B16" s="33" t="str">
        <f>'Dashboard Data'!B13</f>
        <v>October</v>
      </c>
      <c r="C16" s="34" t="str">
        <f>'Dashboard Data'!C13</f>
        <v>Q4</v>
      </c>
      <c r="D16" s="35">
        <f>'Dashboard Data'!D13</f>
        <v>10323.74</v>
      </c>
      <c r="E16" s="36">
        <f>'Dashboard Data'!E13</f>
        <v>8.1840376012060631E-4</v>
      </c>
      <c r="F16" s="36">
        <f>'Dashboard Data'!F13</f>
        <v>1.5085385766770991</v>
      </c>
      <c r="G16" s="36">
        <f>'Dashboard Data'!G13</f>
        <v>-0.99017915487855268</v>
      </c>
      <c r="H16" s="37">
        <f>'Dashboard Data'!H13</f>
        <v>0.80301799551967512</v>
      </c>
      <c r="I16" s="29"/>
      <c r="J16" s="29"/>
      <c r="K16" s="29"/>
      <c r="L16" s="29"/>
      <c r="M16" s="29"/>
      <c r="N16" s="29"/>
      <c r="O16" s="29"/>
      <c r="P16" s="29"/>
      <c r="Q16" s="29"/>
      <c r="R16" s="29"/>
      <c r="S16" s="29"/>
    </row>
    <row r="17" spans="2:19" x14ac:dyDescent="0.3">
      <c r="B17" s="33" t="str">
        <f>'Dashboard Data'!B14</f>
        <v>November</v>
      </c>
      <c r="C17" s="34" t="str">
        <f>'Dashboard Data'!C14</f>
        <v>Q4</v>
      </c>
      <c r="D17" s="35">
        <f>'Dashboard Data'!D14</f>
        <v>231048.53999999998</v>
      </c>
      <c r="E17" s="36">
        <f>'Dashboard Data'!E14</f>
        <v>1.8316132904003423E-2</v>
      </c>
      <c r="F17" s="36">
        <f>'Dashboard Data'!F14</f>
        <v>21.380313723514927</v>
      </c>
      <c r="G17" s="36">
        <f>'Dashboard Data'!G14</f>
        <v>-0.78020640515195894</v>
      </c>
      <c r="H17" s="37">
        <f>'Dashboard Data'!H14</f>
        <v>0.82133412842367848</v>
      </c>
      <c r="I17" s="29"/>
      <c r="J17" s="29"/>
      <c r="K17" s="29"/>
      <c r="L17" s="29"/>
      <c r="M17" s="29"/>
      <c r="N17" s="29"/>
      <c r="O17" s="29"/>
      <c r="P17" s="29"/>
      <c r="Q17" s="29"/>
      <c r="R17" s="29"/>
      <c r="S17" s="29"/>
    </row>
    <row r="18" spans="2:19" x14ac:dyDescent="0.3">
      <c r="B18" s="33" t="str">
        <f>'Dashboard Data'!B15</f>
        <v>December</v>
      </c>
      <c r="C18" s="34" t="str">
        <f>'Dashboard Data'!C15</f>
        <v>Q4</v>
      </c>
      <c r="D18" s="35">
        <f>'Dashboard Data'!D15</f>
        <v>2253777.5300000003</v>
      </c>
      <c r="E18" s="36">
        <f>'Dashboard Data'!E15</f>
        <v>0.17866587157632147</v>
      </c>
      <c r="F18" s="36">
        <f>'Dashboard Data'!F15</f>
        <v>8.754562958934951</v>
      </c>
      <c r="G18" s="36">
        <f>'Dashboard Data'!G15</f>
        <v>1.1439904589158578</v>
      </c>
      <c r="H18" s="37">
        <f>'Dashboard Data'!H15</f>
        <v>1</v>
      </c>
      <c r="I18" s="29"/>
      <c r="J18" s="29"/>
      <c r="K18" s="29"/>
      <c r="L18" s="29"/>
      <c r="M18" s="29"/>
      <c r="N18" s="29"/>
      <c r="O18" s="29"/>
      <c r="P18" s="29"/>
      <c r="Q18" s="29"/>
      <c r="R18" s="29"/>
      <c r="S18" s="29"/>
    </row>
    <row r="19" spans="2:19" x14ac:dyDescent="0.3">
      <c r="B19" s="44" t="s">
        <v>41</v>
      </c>
      <c r="C19" s="40"/>
      <c r="D19" s="41">
        <f>'Dashboard Data'!D16</f>
        <v>12614482.609999999</v>
      </c>
      <c r="E19" s="43">
        <f>'Dashboard Data'!E16</f>
        <v>1</v>
      </c>
      <c r="F19" s="40"/>
      <c r="G19" s="40"/>
      <c r="H19" s="45"/>
      <c r="I19" s="29"/>
      <c r="J19" s="29"/>
      <c r="K19" s="29"/>
      <c r="L19" s="29"/>
      <c r="M19" s="29"/>
      <c r="N19" s="29"/>
      <c r="O19" s="29"/>
      <c r="P19" s="29"/>
      <c r="Q19" s="29"/>
      <c r="R19" s="29"/>
      <c r="S19" s="29"/>
    </row>
    <row r="20" spans="2:19" x14ac:dyDescent="0.3">
      <c r="B20" s="29"/>
      <c r="C20" s="29"/>
      <c r="D20" s="29"/>
      <c r="E20" s="29"/>
      <c r="F20" s="29"/>
      <c r="G20" s="29"/>
      <c r="H20" s="29"/>
      <c r="I20" s="29"/>
      <c r="J20" s="29"/>
      <c r="K20" s="29"/>
      <c r="L20" s="29"/>
      <c r="M20" s="29"/>
      <c r="N20" s="29"/>
      <c r="O20" s="29"/>
      <c r="P20" s="29"/>
      <c r="Q20" s="29"/>
      <c r="R20" s="29"/>
      <c r="S20" s="29"/>
    </row>
    <row r="21" spans="2:19" x14ac:dyDescent="0.3">
      <c r="B21" s="29"/>
      <c r="C21" s="29"/>
      <c r="D21" s="29"/>
      <c r="E21" s="29"/>
      <c r="F21" s="29"/>
      <c r="G21" s="29"/>
      <c r="H21" s="29"/>
      <c r="I21" s="29"/>
      <c r="J21" s="29"/>
      <c r="K21" s="29"/>
      <c r="L21" s="29"/>
      <c r="M21" s="29"/>
      <c r="N21" s="29"/>
      <c r="O21" s="29"/>
      <c r="P21" s="29"/>
      <c r="Q21" s="29"/>
      <c r="R21" s="29"/>
      <c r="S21" s="29"/>
    </row>
    <row r="22" spans="2:19" ht="15.6" x14ac:dyDescent="0.3">
      <c r="B22" s="28" t="s">
        <v>89</v>
      </c>
      <c r="C22" s="29"/>
      <c r="D22" s="29"/>
      <c r="E22" s="29"/>
      <c r="F22" s="29"/>
      <c r="G22" s="29"/>
      <c r="H22" s="29"/>
      <c r="I22" s="29"/>
      <c r="L22" s="29"/>
      <c r="M22" s="29"/>
      <c r="N22" s="29"/>
      <c r="O22" s="29"/>
      <c r="P22" s="29"/>
      <c r="Q22" s="29"/>
      <c r="R22" s="29"/>
      <c r="S22" s="29"/>
    </row>
    <row r="23" spans="2:19" x14ac:dyDescent="0.3">
      <c r="B23" s="30" t="s">
        <v>58</v>
      </c>
      <c r="C23" s="31" t="s">
        <v>59</v>
      </c>
      <c r="D23" s="31" t="s">
        <v>60</v>
      </c>
      <c r="E23" s="31" t="s">
        <v>61</v>
      </c>
      <c r="F23" s="32" t="s">
        <v>62</v>
      </c>
      <c r="G23" s="29"/>
      <c r="H23" s="29"/>
      <c r="I23" s="29"/>
      <c r="L23" s="29"/>
      <c r="M23" s="29"/>
      <c r="N23" s="29"/>
      <c r="O23" s="29"/>
      <c r="P23" s="29"/>
      <c r="Q23" s="29"/>
      <c r="R23" s="29"/>
      <c r="S23" s="29"/>
    </row>
    <row r="24" spans="2:19" x14ac:dyDescent="0.3">
      <c r="B24" s="33" t="str">
        <f>"Top category share ("&amp;'Dashboard Data'!P4&amp;")"</f>
        <v>Top category share (Raw Materials)</v>
      </c>
      <c r="C24" s="46">
        <f>'Dashboard Data'!R4</f>
        <v>0.68686830985293978</v>
      </c>
      <c r="D24" s="46">
        <v>0.4</v>
      </c>
      <c r="E24" s="46">
        <v>0.6</v>
      </c>
      <c r="F24" s="52" t="str">
        <f t="shared" ref="F24:F29" si="0">IF(C24&gt;=E24,"High",IF(C24&gt;=D24,"Medium","Low"))</f>
        <v>High</v>
      </c>
      <c r="G24" s="29"/>
      <c r="H24" s="29"/>
      <c r="I24" s="29"/>
      <c r="L24" s="29"/>
      <c r="M24" s="29"/>
      <c r="N24" s="29"/>
      <c r="O24" s="29"/>
      <c r="P24" s="29"/>
      <c r="Q24" s="29"/>
      <c r="R24" s="29"/>
      <c r="S24" s="29"/>
    </row>
    <row r="25" spans="2:19" x14ac:dyDescent="0.3">
      <c r="B25" s="33" t="s">
        <v>63</v>
      </c>
      <c r="C25" s="46">
        <f>'Dashboard Data'!S6</f>
        <v>0.97099328277563035</v>
      </c>
      <c r="D25" s="46">
        <v>0.8</v>
      </c>
      <c r="E25" s="46">
        <v>0.9</v>
      </c>
      <c r="F25" s="52" t="str">
        <f t="shared" si="0"/>
        <v>High</v>
      </c>
      <c r="G25" s="29"/>
      <c r="H25" s="29"/>
      <c r="I25" s="29"/>
      <c r="L25" s="29"/>
      <c r="M25" s="29"/>
      <c r="N25" s="29"/>
      <c r="O25" s="29"/>
      <c r="P25" s="29"/>
      <c r="Q25" s="29"/>
      <c r="R25" s="29"/>
      <c r="S25" s="29"/>
    </row>
    <row r="26" spans="2:19" x14ac:dyDescent="0.3">
      <c r="B26" s="33" t="s">
        <v>64</v>
      </c>
      <c r="C26" s="47" cm="1">
        <f t="array" ref="C26">SUMPRODUCT(('Dashboard Data'!R4:R9*100)^2)</f>
        <v>5172.7531154915532</v>
      </c>
      <c r="D26" s="47">
        <v>1500</v>
      </c>
      <c r="E26" s="47">
        <v>2500</v>
      </c>
      <c r="F26" s="52" t="str">
        <f t="shared" si="0"/>
        <v>High</v>
      </c>
      <c r="G26" s="29"/>
      <c r="H26" s="29"/>
      <c r="I26" s="29"/>
      <c r="L26" s="29"/>
      <c r="M26" s="29"/>
      <c r="N26" s="29"/>
      <c r="O26" s="29"/>
      <c r="P26" s="29"/>
      <c r="Q26" s="29"/>
      <c r="R26" s="29"/>
      <c r="S26" s="29"/>
    </row>
    <row r="27" spans="2:19" x14ac:dyDescent="0.3">
      <c r="B27" s="33" t="s">
        <v>65</v>
      </c>
      <c r="C27" s="47" cm="1">
        <f t="array" ref="C27">SUMPRODUCT(('Dashboard Data'!W4:W7*100)^2)</f>
        <v>4139.527683276634</v>
      </c>
      <c r="D27" s="47">
        <v>1500</v>
      </c>
      <c r="E27" s="47">
        <v>2500</v>
      </c>
      <c r="F27" s="52" t="str">
        <f t="shared" si="0"/>
        <v>High</v>
      </c>
      <c r="G27" s="29"/>
      <c r="H27" s="29"/>
      <c r="I27" s="29"/>
      <c r="L27" s="29"/>
      <c r="M27" s="29"/>
      <c r="N27" s="29"/>
      <c r="O27" s="29"/>
      <c r="P27" s="29"/>
      <c r="Q27" s="29"/>
      <c r="R27" s="29"/>
      <c r="S27" s="29"/>
    </row>
    <row r="28" spans="2:19" x14ac:dyDescent="0.3">
      <c r="B28" s="33" t="s">
        <v>66</v>
      </c>
      <c r="C28" s="48">
        <f>_xlfn.STDEV.P('Dashboard Data'!D4:D15)/AVERAGE('Dashboard Data'!D4:D15)</f>
        <v>1.2410526138185409</v>
      </c>
      <c r="D28" s="48">
        <v>0.5</v>
      </c>
      <c r="E28" s="48">
        <v>1</v>
      </c>
      <c r="F28" s="52" t="str">
        <f t="shared" si="0"/>
        <v>High</v>
      </c>
      <c r="G28" s="29"/>
      <c r="H28" s="29"/>
      <c r="I28" s="29"/>
      <c r="L28" s="29"/>
      <c r="M28" s="29"/>
      <c r="N28" s="29"/>
      <c r="O28" s="29"/>
      <c r="P28" s="29"/>
      <c r="Q28" s="29"/>
      <c r="R28" s="29"/>
      <c r="S28" s="29"/>
    </row>
    <row r="29" spans="2:19" x14ac:dyDescent="0.3">
      <c r="B29" s="49" t="s">
        <v>67</v>
      </c>
      <c r="C29" s="50" cm="1">
        <f t="array" ref="C29">SUM(LARGE('Dashboard Data'!D4:D15,{1,2,3}))/'Dashboard Data'!D16</f>
        <v>0.75297853060340458</v>
      </c>
      <c r="D29" s="50">
        <v>0.5</v>
      </c>
      <c r="E29" s="50">
        <v>0.7</v>
      </c>
      <c r="F29" s="53" t="str">
        <f t="shared" si="0"/>
        <v>High</v>
      </c>
      <c r="G29" s="29"/>
      <c r="H29" s="29"/>
      <c r="I29" s="29"/>
      <c r="L29" s="29"/>
      <c r="M29" s="29"/>
      <c r="N29" s="29"/>
      <c r="O29" s="29"/>
      <c r="P29" s="29"/>
      <c r="Q29" s="29"/>
      <c r="R29" s="29"/>
      <c r="S29" s="29"/>
    </row>
    <row r="30" spans="2:19" x14ac:dyDescent="0.3">
      <c r="B30" s="51" t="s">
        <v>77</v>
      </c>
      <c r="C30" s="29"/>
      <c r="D30" s="29"/>
      <c r="E30" s="29"/>
      <c r="F30" s="29"/>
      <c r="G30" s="29"/>
      <c r="H30" s="29"/>
      <c r="I30" s="29"/>
      <c r="L30" s="29"/>
      <c r="M30" s="29"/>
      <c r="N30" s="29"/>
      <c r="O30" s="29"/>
      <c r="P30" s="29"/>
      <c r="Q30" s="29"/>
      <c r="R30" s="29"/>
      <c r="S30" s="29"/>
    </row>
    <row r="33" spans="2:3" ht="15.6" x14ac:dyDescent="0.3">
      <c r="B33" s="21" t="s">
        <v>90</v>
      </c>
    </row>
    <row r="34" spans="2:3" x14ac:dyDescent="0.3">
      <c r="B34" s="22" t="s">
        <v>68</v>
      </c>
      <c r="C34" s="23" t="s">
        <v>59</v>
      </c>
    </row>
    <row r="35" spans="2:3" x14ac:dyDescent="0.3">
      <c r="B35" s="24" t="s">
        <v>69</v>
      </c>
      <c r="C35" s="55" t="str">
        <f>INDEX('Dashboard Data'!B4:B15,MATCH(MAX('Dashboard Data'!D4:D15),'Dashboard Data'!D4:D15,0))&amp;" – "&amp;TEXT(MAX('Dashboard Data'!D4:D15),"$#,##0")</f>
        <v>March – $3,764,104</v>
      </c>
    </row>
    <row r="36" spans="2:3" x14ac:dyDescent="0.3">
      <c r="B36" s="24" t="s">
        <v>70</v>
      </c>
      <c r="C36" s="55" t="str">
        <f>INDEX('Dashboard Data'!B4:B15,MATCH(MIN('Dashboard Data'!D4:D15),'Dashboard Data'!D4:D15,0))&amp;" – "&amp;TEXT(MIN('Dashboard Data'!D4:D15),"$#,##0")</f>
        <v>September – $4,115</v>
      </c>
    </row>
    <row r="37" spans="2:3" x14ac:dyDescent="0.3">
      <c r="B37" s="24" t="s">
        <v>71</v>
      </c>
      <c r="C37" s="26">
        <f>SUM('Dashboard Data'!D4:D9)/'Dashboard Data'!D16</f>
        <v>0.67952891727836007</v>
      </c>
    </row>
    <row r="38" spans="2:3" x14ac:dyDescent="0.3">
      <c r="B38" s="24" t="s">
        <v>72</v>
      </c>
      <c r="C38" s="26">
        <f>SUM('Dashboard Data'!D10:D15)/'Dashboard Data'!D16</f>
        <v>0.3204710827216401</v>
      </c>
    </row>
    <row r="39" spans="2:3" x14ac:dyDescent="0.3">
      <c r="B39" s="24" t="s">
        <v>73</v>
      </c>
      <c r="C39" s="26">
        <f>'Dashboard Data'!M4</f>
        <v>0.62067538495738594</v>
      </c>
    </row>
    <row r="40" spans="2:3" x14ac:dyDescent="0.3">
      <c r="B40" s="24" t="s">
        <v>74</v>
      </c>
      <c r="C40" s="26">
        <f>SUMIFS('Dashboard Data'!W4:W7,'Dashboard Data'!V4:V7,"Supply Chain")+SUMIFS('Dashboard Data'!W4:W7,'Dashboard Data'!V4:V7,"Production")</f>
        <v>0.90442971802551031</v>
      </c>
    </row>
    <row r="41" spans="2:3" x14ac:dyDescent="0.3">
      <c r="B41" s="25" t="s">
        <v>75</v>
      </c>
      <c r="C41" s="27">
        <f>SUMIFS('Dashboard Data'!R4:R9,'Dashboard Data'!R4:R9,"&lt;0.01")</f>
        <v>2.9165873177259081E-3</v>
      </c>
    </row>
  </sheetData>
  <conditionalFormatting sqref="F24:F29">
    <cfRule type="containsText" priority="1" operator="containsText" text="Text">
      <formula>NOT(ISERROR(SEARCH("Text",F24)))</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FFD6C-FC84-4702-A41F-26A01A622DE0}">
  <dimension ref="B3:S16"/>
  <sheetViews>
    <sheetView topLeftCell="M2" workbookViewId="0">
      <selection activeCell="Q3" sqref="Q3"/>
    </sheetView>
  </sheetViews>
  <sheetFormatPr defaultRowHeight="14.4" x14ac:dyDescent="0.3"/>
  <cols>
    <col min="2" max="2" width="12" bestFit="1" customWidth="1"/>
    <col min="3" max="3" width="11" bestFit="1" customWidth="1"/>
    <col min="4" max="4" width="15.109375" bestFit="1" customWidth="1"/>
    <col min="5" max="5" width="14.44140625" bestFit="1" customWidth="1"/>
    <col min="6" max="6" width="14.109375" bestFit="1" customWidth="1"/>
    <col min="9" max="9" width="20.109375" bestFit="1" customWidth="1"/>
    <col min="10" max="10" width="11.5546875" bestFit="1" customWidth="1"/>
    <col min="11" max="11" width="14.109375" bestFit="1" customWidth="1"/>
    <col min="12" max="12" width="14.33203125" bestFit="1" customWidth="1"/>
    <col min="13" max="13" width="12" bestFit="1" customWidth="1"/>
    <col min="17" max="17" width="16.88671875" bestFit="1" customWidth="1"/>
    <col min="18" max="18" width="14.6640625" bestFit="1" customWidth="1"/>
    <col min="19" max="19" width="12" bestFit="1" customWidth="1"/>
  </cols>
  <sheetData>
    <row r="3" spans="2:19" x14ac:dyDescent="0.3">
      <c r="B3" t="s">
        <v>0</v>
      </c>
      <c r="C3" t="s">
        <v>1</v>
      </c>
      <c r="D3" t="s">
        <v>2</v>
      </c>
      <c r="E3" t="s">
        <v>3</v>
      </c>
      <c r="F3" t="s">
        <v>4</v>
      </c>
      <c r="I3" s="2" t="s">
        <v>10</v>
      </c>
      <c r="J3" t="s">
        <v>0</v>
      </c>
      <c r="L3" s="2" t="s">
        <v>11</v>
      </c>
      <c r="M3" t="s">
        <v>0</v>
      </c>
      <c r="Q3" s="2" t="s">
        <v>31</v>
      </c>
      <c r="R3" s="2" t="s">
        <v>18</v>
      </c>
      <c r="S3" t="s">
        <v>0</v>
      </c>
    </row>
    <row r="4" spans="2:19" x14ac:dyDescent="0.3">
      <c r="B4" s="1">
        <v>12614482.609999996</v>
      </c>
      <c r="C4" s="1">
        <v>30</v>
      </c>
      <c r="D4" s="1">
        <v>461</v>
      </c>
      <c r="E4" s="1">
        <v>15.366666666666667</v>
      </c>
      <c r="F4" s="1">
        <v>27363.302841648579</v>
      </c>
      <c r="I4" t="s">
        <v>5</v>
      </c>
      <c r="J4" s="3">
        <v>4.8400123800242029E-2</v>
      </c>
      <c r="L4" t="s">
        <v>12</v>
      </c>
      <c r="M4" s="1">
        <v>2386315.2999999998</v>
      </c>
      <c r="Q4">
        <v>1</v>
      </c>
      <c r="R4" t="s">
        <v>23</v>
      </c>
      <c r="S4" s="1">
        <v>3480552.5999999996</v>
      </c>
    </row>
    <row r="5" spans="2:19" x14ac:dyDescent="0.3">
      <c r="I5" t="s">
        <v>6</v>
      </c>
      <c r="J5" s="3">
        <v>4.7170158174247946E-2</v>
      </c>
      <c r="L5" t="s">
        <v>13</v>
      </c>
      <c r="M5" s="1">
        <v>1197774.23</v>
      </c>
      <c r="Q5">
        <v>2</v>
      </c>
      <c r="R5" t="s">
        <v>22</v>
      </c>
      <c r="S5" s="1">
        <v>584841.79999999993</v>
      </c>
    </row>
    <row r="6" spans="2:19" x14ac:dyDescent="0.3">
      <c r="I6" t="s">
        <v>7</v>
      </c>
      <c r="J6" s="3">
        <v>0.43827543474650693</v>
      </c>
      <c r="L6" t="s">
        <v>14</v>
      </c>
      <c r="M6" s="1">
        <v>329113.49</v>
      </c>
      <c r="Q6">
        <v>3</v>
      </c>
      <c r="R6" t="s">
        <v>26</v>
      </c>
      <c r="S6" s="1">
        <v>3764104.45</v>
      </c>
    </row>
    <row r="7" spans="2:19" x14ac:dyDescent="0.3">
      <c r="I7" t="s">
        <v>8</v>
      </c>
      <c r="J7" s="3">
        <v>0.46615428327900343</v>
      </c>
      <c r="L7" t="s">
        <v>15</v>
      </c>
      <c r="M7" s="1">
        <v>16395.5</v>
      </c>
      <c r="Q7">
        <v>4</v>
      </c>
      <c r="R7" t="s">
        <v>19</v>
      </c>
      <c r="S7" s="1">
        <v>129550.41</v>
      </c>
    </row>
    <row r="8" spans="2:19" x14ac:dyDescent="0.3">
      <c r="I8" t="s">
        <v>9</v>
      </c>
      <c r="J8" s="3">
        <v>1</v>
      </c>
      <c r="L8" t="s">
        <v>16</v>
      </c>
      <c r="M8" s="1">
        <v>20395.739999999998</v>
      </c>
      <c r="Q8">
        <v>5</v>
      </c>
      <c r="R8" t="s">
        <v>27</v>
      </c>
      <c r="S8" s="1">
        <v>454227.29999999993</v>
      </c>
    </row>
    <row r="9" spans="2:19" x14ac:dyDescent="0.3">
      <c r="L9" t="s">
        <v>17</v>
      </c>
      <c r="M9" s="1">
        <v>8664488.3499999978</v>
      </c>
      <c r="Q9">
        <v>6</v>
      </c>
      <c r="R9" t="s">
        <v>25</v>
      </c>
      <c r="S9" s="1">
        <v>158629.15</v>
      </c>
    </row>
    <row r="10" spans="2:19" x14ac:dyDescent="0.3">
      <c r="L10" t="s">
        <v>9</v>
      </c>
      <c r="M10" s="1">
        <v>12614482.609999996</v>
      </c>
      <c r="Q10">
        <v>7</v>
      </c>
      <c r="R10" t="s">
        <v>24</v>
      </c>
      <c r="S10" s="1">
        <v>278027.78000000003</v>
      </c>
    </row>
    <row r="11" spans="2:19" x14ac:dyDescent="0.3">
      <c r="Q11">
        <v>8</v>
      </c>
      <c r="R11" t="s">
        <v>20</v>
      </c>
      <c r="S11" s="1">
        <v>1265283.8699999999</v>
      </c>
    </row>
    <row r="12" spans="2:19" x14ac:dyDescent="0.3">
      <c r="Q12">
        <v>9</v>
      </c>
      <c r="R12" t="s">
        <v>30</v>
      </c>
      <c r="S12" s="1">
        <v>4115.4399999999996</v>
      </c>
    </row>
    <row r="13" spans="2:19" x14ac:dyDescent="0.3">
      <c r="Q13">
        <v>10</v>
      </c>
      <c r="R13" t="s">
        <v>29</v>
      </c>
      <c r="S13" s="1">
        <v>10323.74</v>
      </c>
    </row>
    <row r="14" spans="2:19" x14ac:dyDescent="0.3">
      <c r="Q14">
        <v>11</v>
      </c>
      <c r="R14" t="s">
        <v>28</v>
      </c>
      <c r="S14" s="1">
        <v>231048.53999999998</v>
      </c>
    </row>
    <row r="15" spans="2:19" x14ac:dyDescent="0.3">
      <c r="Q15">
        <v>12</v>
      </c>
      <c r="R15" t="s">
        <v>21</v>
      </c>
      <c r="S15" s="1">
        <v>2253777.5300000003</v>
      </c>
    </row>
    <row r="16" spans="2:19" x14ac:dyDescent="0.3">
      <c r="Q16" t="s">
        <v>9</v>
      </c>
      <c r="S16" s="1">
        <v>12614482.609999996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4B30F-F0D4-4FB0-9F1B-31257DEF2B66}">
  <dimension ref="A1:X33"/>
  <sheetViews>
    <sheetView workbookViewId="0"/>
  </sheetViews>
  <sheetFormatPr defaultRowHeight="14.4" x14ac:dyDescent="0.3"/>
  <cols>
    <col min="1" max="1" width="14.77734375" customWidth="1"/>
    <col min="2" max="2" width="15.77734375" customWidth="1"/>
    <col min="3" max="9" width="14.77734375" customWidth="1"/>
    <col min="10" max="10" width="2.77734375" customWidth="1"/>
    <col min="11" max="13" width="14.77734375" customWidth="1"/>
    <col min="14" max="14" width="2.77734375" customWidth="1"/>
    <col min="15" max="19" width="14.77734375" customWidth="1"/>
    <col min="20" max="20" width="2.77734375" customWidth="1"/>
    <col min="21" max="24" width="14.77734375" customWidth="1"/>
  </cols>
  <sheetData>
    <row r="1" spans="1:24" ht="15.6" x14ac:dyDescent="0.3">
      <c r="A1" s="4" t="s">
        <v>32</v>
      </c>
    </row>
    <row r="3" spans="1:24" x14ac:dyDescent="0.3">
      <c r="A3" s="5" t="s">
        <v>33</v>
      </c>
      <c r="B3" s="5" t="s">
        <v>18</v>
      </c>
      <c r="C3" s="5" t="s">
        <v>34</v>
      </c>
      <c r="D3" s="5" t="s">
        <v>35</v>
      </c>
      <c r="E3" s="5" t="s">
        <v>36</v>
      </c>
      <c r="F3" s="5" t="s">
        <v>37</v>
      </c>
      <c r="G3" s="5" t="s">
        <v>38</v>
      </c>
      <c r="H3" s="5" t="s">
        <v>39</v>
      </c>
      <c r="I3" s="5" t="s">
        <v>40</v>
      </c>
      <c r="K3" s="5" t="s">
        <v>34</v>
      </c>
      <c r="L3" s="5" t="s">
        <v>35</v>
      </c>
      <c r="M3" s="5" t="s">
        <v>42</v>
      </c>
      <c r="O3" s="5" t="s">
        <v>47</v>
      </c>
      <c r="P3" s="5" t="s">
        <v>11</v>
      </c>
      <c r="Q3" s="5" t="s">
        <v>35</v>
      </c>
      <c r="R3" s="5" t="s">
        <v>42</v>
      </c>
      <c r="S3" s="5" t="s">
        <v>39</v>
      </c>
      <c r="U3" s="5" t="s">
        <v>47</v>
      </c>
      <c r="V3" s="5" t="s">
        <v>48</v>
      </c>
      <c r="W3" s="5" t="s">
        <v>42</v>
      </c>
      <c r="X3" s="5" t="s">
        <v>35</v>
      </c>
    </row>
    <row r="4" spans="1:24" x14ac:dyDescent="0.3">
      <c r="A4" s="11" t="str">
        <f>LEFT(Sheet2!R4,3)</f>
        <v>Jan</v>
      </c>
      <c r="B4" s="11" t="str">
        <f>Sheet2!R4</f>
        <v>January</v>
      </c>
      <c r="C4" s="11" t="str">
        <f>"Q"&amp;ROUNDUP(Sheet2!Q4/3,0)</f>
        <v>Q1</v>
      </c>
      <c r="D4" s="12">
        <f>Sheet2!S4</f>
        <v>3480552.5999999996</v>
      </c>
      <c r="E4" s="9">
        <f t="shared" ref="E4:E15" si="0">D4/$D$16</f>
        <v>0.27591719039200452</v>
      </c>
      <c r="F4" s="9"/>
      <c r="G4" s="9">
        <f t="shared" ref="G4:G15" si="1">D4/$I4-1</f>
        <v>2.311006284704054</v>
      </c>
      <c r="H4" s="9">
        <f>SUM($D$4:D4)/$D$16</f>
        <v>0.27591719039200452</v>
      </c>
      <c r="I4" s="7">
        <f t="shared" ref="I4:I15" si="2">AVERAGE($D$4:$D$15)</f>
        <v>1051206.8841666665</v>
      </c>
      <c r="K4" t="s">
        <v>43</v>
      </c>
      <c r="L4" s="7">
        <f>SUMIFS($D$4:$D$15,$C$4:$C$15,K4)</f>
        <v>7829498.8499999996</v>
      </c>
      <c r="M4" s="9">
        <f>L4/$L$8</f>
        <v>0.62067538495738594</v>
      </c>
      <c r="O4">
        <v>1</v>
      </c>
      <c r="P4" t="str">
        <f>INDEX(Sheet2!$L$4:$L$9,MATCH(Q4,Sheet2!$M$4:$M$9,0))</f>
        <v>Raw Materials</v>
      </c>
      <c r="Q4" s="7">
        <f>LARGE(Sheet2!$M$4:$M$9,O4)</f>
        <v>8664488.3499999978</v>
      </c>
      <c r="R4" s="9">
        <f>Q4/Sheet2!$M$10</f>
        <v>0.68686830985293978</v>
      </c>
      <c r="S4" s="9">
        <f>SUM($R$4:R4)</f>
        <v>0.68686830985293978</v>
      </c>
      <c r="U4">
        <v>1</v>
      </c>
      <c r="V4" t="str">
        <f>INDEX(Sheet2!$I$4:$I$7,MATCH(W4,Sheet2!$J$4:$J$7,0))</f>
        <v>Supply Chain</v>
      </c>
      <c r="W4" s="9">
        <f>LARGE(Sheet2!$J$4:$J$7,U4)</f>
        <v>0.46615428327900343</v>
      </c>
      <c r="X4" s="7">
        <f>W4*Sheet2!$B$4</f>
        <v>5880295.1000000006</v>
      </c>
    </row>
    <row r="5" spans="1:24" x14ac:dyDescent="0.3">
      <c r="A5" s="11" t="str">
        <f>LEFT(Sheet2!R5,3)</f>
        <v>Feb</v>
      </c>
      <c r="B5" s="11" t="str">
        <f>Sheet2!R5</f>
        <v>February</v>
      </c>
      <c r="C5" s="11" t="str">
        <f>"Q"&amp;ROUNDUP(Sheet2!Q5/3,0)</f>
        <v>Q1</v>
      </c>
      <c r="D5" s="12">
        <f>Sheet2!S5</f>
        <v>584841.79999999993</v>
      </c>
      <c r="E5" s="9">
        <f t="shared" si="0"/>
        <v>4.6362725930302738E-2</v>
      </c>
      <c r="F5" s="9">
        <f t="shared" ref="F5:F15" si="3">D5/D4-1</f>
        <v>-0.83196869370685567</v>
      </c>
      <c r="G5" s="9">
        <f t="shared" si="1"/>
        <v>-0.44364728883636706</v>
      </c>
      <c r="H5" s="9">
        <f>SUM($D$4:D5)/$D$16</f>
        <v>0.32227991632230724</v>
      </c>
      <c r="I5" s="7">
        <f t="shared" si="2"/>
        <v>1051206.8841666665</v>
      </c>
      <c r="K5" t="s">
        <v>44</v>
      </c>
      <c r="L5" s="7">
        <f>SUMIFS($D$4:$D$15,$C$4:$C$15,K5)</f>
        <v>742406.86</v>
      </c>
      <c r="M5" s="9">
        <f>L5/$L$8</f>
        <v>5.8853532320974046E-2</v>
      </c>
      <c r="O5">
        <v>2</v>
      </c>
      <c r="P5" t="str">
        <f>INDEX(Sheet2!$L$4:$L$9,MATCH(Q5,Sheet2!$M$4:$M$9,0))</f>
        <v>IT Equipment</v>
      </c>
      <c r="Q5" s="7">
        <f>LARGE(Sheet2!$M$4:$M$9,O5)</f>
        <v>2386315.2999999998</v>
      </c>
      <c r="R5" s="9">
        <f>Q5/Sheet2!$M$10</f>
        <v>0.1891726655604784</v>
      </c>
      <c r="S5" s="9">
        <f>SUM($R$4:R5)</f>
        <v>0.87604097541341819</v>
      </c>
      <c r="U5">
        <v>2</v>
      </c>
      <c r="V5" t="str">
        <f>INDEX(Sheet2!$I$4:$I$7,MATCH(W5,Sheet2!$J$4:$J$7,0))</f>
        <v>Production</v>
      </c>
      <c r="W5" s="9">
        <f>LARGE(Sheet2!$J$4:$J$7,U5)</f>
        <v>0.43827543474650693</v>
      </c>
      <c r="X5" s="7">
        <f>W5*Sheet2!$B$4</f>
        <v>5528617.8499999996</v>
      </c>
    </row>
    <row r="6" spans="1:24" x14ac:dyDescent="0.3">
      <c r="A6" s="11" t="str">
        <f>LEFT(Sheet2!R6,3)</f>
        <v>Mar</v>
      </c>
      <c r="B6" s="11" t="str">
        <f>Sheet2!R6</f>
        <v>March</v>
      </c>
      <c r="C6" s="11" t="str">
        <f>"Q"&amp;ROUNDUP(Sheet2!Q6/3,0)</f>
        <v>Q1</v>
      </c>
      <c r="D6" s="12">
        <f>Sheet2!S6</f>
        <v>3764104.45</v>
      </c>
      <c r="E6" s="9">
        <f t="shared" si="0"/>
        <v>0.29839546863507865</v>
      </c>
      <c r="F6" s="9">
        <f t="shared" si="3"/>
        <v>5.4361070805814506</v>
      </c>
      <c r="G6" s="9">
        <f t="shared" si="1"/>
        <v>2.5807456236209445</v>
      </c>
      <c r="H6" s="9">
        <f>SUM($D$4:D6)/$D$16</f>
        <v>0.62067538495738594</v>
      </c>
      <c r="I6" s="7">
        <f t="shared" si="2"/>
        <v>1051206.8841666665</v>
      </c>
      <c r="K6" t="s">
        <v>45</v>
      </c>
      <c r="L6" s="7">
        <f>SUMIFS($D$4:$D$15,$C$4:$C$15,K6)</f>
        <v>1547427.0899999999</v>
      </c>
      <c r="M6" s="9">
        <f>L6/$L$8</f>
        <v>0.12267067448119459</v>
      </c>
      <c r="O6">
        <v>3</v>
      </c>
      <c r="P6" t="str">
        <f>INDEX(Sheet2!$L$4:$L$9,MATCH(Q6,Sheet2!$M$4:$M$9,0))</f>
        <v>Logistics</v>
      </c>
      <c r="Q6" s="7">
        <f>LARGE(Sheet2!$M$4:$M$9,O6)</f>
        <v>1197774.23</v>
      </c>
      <c r="R6" s="9">
        <f>Q6/Sheet2!$M$10</f>
        <v>9.4952307362212177E-2</v>
      </c>
      <c r="S6" s="9">
        <f>SUM($R$4:R6)</f>
        <v>0.97099328277563035</v>
      </c>
      <c r="U6">
        <v>3</v>
      </c>
      <c r="V6" t="str">
        <f>INDEX(Sheet2!$I$4:$I$7,MATCH(W6,Sheet2!$J$4:$J$7,0))</f>
        <v>Admin</v>
      </c>
      <c r="W6" s="9">
        <f>LARGE(Sheet2!$J$4:$J$7,U6)</f>
        <v>4.8400123800242029E-2</v>
      </c>
      <c r="X6" s="7">
        <f>W6*Sheet2!$B$4</f>
        <v>610542.52</v>
      </c>
    </row>
    <row r="7" spans="1:24" x14ac:dyDescent="0.3">
      <c r="A7" s="11" t="str">
        <f>LEFT(Sheet2!R7,3)</f>
        <v>Apr</v>
      </c>
      <c r="B7" s="11" t="str">
        <f>Sheet2!R7</f>
        <v>April</v>
      </c>
      <c r="C7" s="11" t="str">
        <f>"Q"&amp;ROUNDUP(Sheet2!Q7/3,0)</f>
        <v>Q2</v>
      </c>
      <c r="D7" s="12">
        <f>Sheet2!S7</f>
        <v>129550.41</v>
      </c>
      <c r="E7" s="9">
        <f t="shared" si="0"/>
        <v>1.0269974124606606E-2</v>
      </c>
      <c r="F7" s="9">
        <f t="shared" si="3"/>
        <v>-0.96558267398769981</v>
      </c>
      <c r="G7" s="9">
        <f t="shared" si="1"/>
        <v>-0.8767603105047207</v>
      </c>
      <c r="H7" s="9">
        <f>SUM($D$4:D7)/$D$16</f>
        <v>0.63094535908199256</v>
      </c>
      <c r="I7" s="7">
        <f t="shared" si="2"/>
        <v>1051206.8841666665</v>
      </c>
      <c r="K7" t="s">
        <v>46</v>
      </c>
      <c r="L7" s="7">
        <f>SUMIFS($D$4:$D$15,$C$4:$C$15,K7)</f>
        <v>2495149.81</v>
      </c>
      <c r="M7" s="9">
        <f>L7/$L$8</f>
        <v>0.19780040824044548</v>
      </c>
      <c r="O7">
        <v>4</v>
      </c>
      <c r="P7" t="str">
        <f>INDEX(Sheet2!$L$4:$L$9,MATCH(Q7,Sheet2!$M$4:$M$9,0))</f>
        <v>MRO</v>
      </c>
      <c r="Q7" s="7">
        <f>LARGE(Sheet2!$M$4:$M$9,O7)</f>
        <v>329113.49</v>
      </c>
      <c r="R7" s="9">
        <f>Q7/Sheet2!$M$10</f>
        <v>2.6090129906643878E-2</v>
      </c>
      <c r="S7" s="9">
        <f>SUM($R$4:R7)</f>
        <v>0.99708341268227418</v>
      </c>
      <c r="U7">
        <v>4</v>
      </c>
      <c r="V7" t="str">
        <f>INDEX(Sheet2!$I$4:$I$7,MATCH(W7,Sheet2!$J$4:$J$7,0))</f>
        <v>IT</v>
      </c>
      <c r="W7" s="9">
        <f>LARGE(Sheet2!$J$4:$J$7,U7)</f>
        <v>4.7170158174247946E-2</v>
      </c>
      <c r="X7" s="7">
        <f>W7*Sheet2!$B$4</f>
        <v>595027.1399999999</v>
      </c>
    </row>
    <row r="8" spans="1:24" x14ac:dyDescent="0.3">
      <c r="A8" s="11" t="str">
        <f>LEFT(Sheet2!R8,3)</f>
        <v>May</v>
      </c>
      <c r="B8" s="11" t="str">
        <f>Sheet2!R8</f>
        <v>May</v>
      </c>
      <c r="C8" s="11" t="str">
        <f>"Q"&amp;ROUNDUP(Sheet2!Q8/3,0)</f>
        <v>Q2</v>
      </c>
      <c r="D8" s="12">
        <f>Sheet2!S8</f>
        <v>454227.29999999993</v>
      </c>
      <c r="E8" s="9">
        <f t="shared" si="0"/>
        <v>3.600839717674318E-2</v>
      </c>
      <c r="F8" s="9">
        <f t="shared" si="3"/>
        <v>2.5061818793163213</v>
      </c>
      <c r="G8" s="9">
        <f t="shared" si="1"/>
        <v>-0.56789923387908181</v>
      </c>
      <c r="H8" s="9">
        <f>SUM($D$4:D8)/$D$16</f>
        <v>0.66695375625873576</v>
      </c>
      <c r="I8" s="7">
        <f t="shared" si="2"/>
        <v>1051206.8841666665</v>
      </c>
      <c r="K8" s="6" t="s">
        <v>41</v>
      </c>
      <c r="L8" s="8">
        <f>SUM(L4:L7)</f>
        <v>12614482.609999999</v>
      </c>
      <c r="M8" s="10">
        <f>SUM(M4:M7)</f>
        <v>1</v>
      </c>
      <c r="O8">
        <v>5</v>
      </c>
      <c r="P8" t="str">
        <f>INDEX(Sheet2!$L$4:$L$9,MATCH(Q8,Sheet2!$M$4:$M$9,0))</f>
        <v>Packaging</v>
      </c>
      <c r="Q8" s="7">
        <f>LARGE(Sheet2!$M$4:$M$9,O8)</f>
        <v>20395.739999999998</v>
      </c>
      <c r="R8" s="9">
        <f>Q8/Sheet2!$M$10</f>
        <v>1.6168510933481722E-3</v>
      </c>
      <c r="S8" s="9">
        <f>SUM($R$4:R8)</f>
        <v>0.99870026377562238</v>
      </c>
      <c r="U8" s="6"/>
      <c r="V8" s="6" t="s">
        <v>41</v>
      </c>
      <c r="W8" s="10">
        <f>SUM(W4:W7)</f>
        <v>1.0000000000000002</v>
      </c>
      <c r="X8" s="8">
        <f>SUM(X4:X7)</f>
        <v>12614482.609999999</v>
      </c>
    </row>
    <row r="9" spans="1:24" x14ac:dyDescent="0.3">
      <c r="A9" s="11" t="str">
        <f>LEFT(Sheet2!R9,3)</f>
        <v>Jun</v>
      </c>
      <c r="B9" s="11" t="str">
        <f>Sheet2!R9</f>
        <v>June</v>
      </c>
      <c r="C9" s="11" t="str">
        <f>"Q"&amp;ROUNDUP(Sheet2!Q9/3,0)</f>
        <v>Q2</v>
      </c>
      <c r="D9" s="12">
        <f>Sheet2!S9</f>
        <v>158629.15</v>
      </c>
      <c r="E9" s="9">
        <f t="shared" si="0"/>
        <v>1.2575161019624253E-2</v>
      </c>
      <c r="F9" s="9">
        <f t="shared" si="3"/>
        <v>-0.65077143095538292</v>
      </c>
      <c r="G9" s="9">
        <f t="shared" si="1"/>
        <v>-0.84909806776450902</v>
      </c>
      <c r="H9" s="9">
        <f>SUM($D$4:D9)/$D$16</f>
        <v>0.67952891727836007</v>
      </c>
      <c r="I9" s="7">
        <f t="shared" si="2"/>
        <v>1051206.8841666665</v>
      </c>
      <c r="O9">
        <v>6</v>
      </c>
      <c r="P9" t="str">
        <f>INDEX(Sheet2!$L$4:$L$9,MATCH(Q9,Sheet2!$M$4:$M$9,0))</f>
        <v>Office Supplies</v>
      </c>
      <c r="Q9" s="7">
        <f>LARGE(Sheet2!$M$4:$M$9,O9)</f>
        <v>16395.5</v>
      </c>
      <c r="R9" s="9">
        <f>Q9/Sheet2!$M$10</f>
        <v>1.2997362243777357E-3</v>
      </c>
      <c r="S9" s="9">
        <f>SUM($R$4:R9)</f>
        <v>1.0000000000000002</v>
      </c>
    </row>
    <row r="10" spans="1:24" x14ac:dyDescent="0.3">
      <c r="A10" s="11" t="str">
        <f>LEFT(Sheet2!R10,3)</f>
        <v>Jul</v>
      </c>
      <c r="B10" s="11" t="str">
        <f>Sheet2!R10</f>
        <v>July</v>
      </c>
      <c r="C10" s="11" t="str">
        <f>"Q"&amp;ROUNDUP(Sheet2!Q10/3,0)</f>
        <v>Q3</v>
      </c>
      <c r="D10" s="12">
        <f>Sheet2!S10</f>
        <v>278027.78000000003</v>
      </c>
      <c r="E10" s="9">
        <f t="shared" si="0"/>
        <v>2.2040363334410278E-2</v>
      </c>
      <c r="F10" s="9">
        <f t="shared" si="3"/>
        <v>0.75269034726593476</v>
      </c>
      <c r="G10" s="9">
        <f t="shared" si="1"/>
        <v>-0.73551563998707659</v>
      </c>
      <c r="H10" s="9">
        <f>SUM($D$4:D10)/$D$16</f>
        <v>0.70156928061277024</v>
      </c>
      <c r="I10" s="7">
        <f t="shared" si="2"/>
        <v>1051206.8841666665</v>
      </c>
      <c r="O10" s="6"/>
      <c r="P10" s="6" t="s">
        <v>41</v>
      </c>
      <c r="Q10" s="8">
        <f>SUM(Q4:Q9)</f>
        <v>12614482.609999999</v>
      </c>
      <c r="R10" s="10">
        <f>SUM(R4:R9)</f>
        <v>1.0000000000000002</v>
      </c>
      <c r="S10" s="10"/>
    </row>
    <row r="11" spans="1:24" x14ac:dyDescent="0.3">
      <c r="A11" s="11" t="str">
        <f>LEFT(Sheet2!R11,3)</f>
        <v>Aug</v>
      </c>
      <c r="B11" s="11" t="str">
        <f>Sheet2!R11</f>
        <v>August</v>
      </c>
      <c r="C11" s="11" t="str">
        <f>"Q"&amp;ROUNDUP(Sheet2!Q11/3,0)</f>
        <v>Q3</v>
      </c>
      <c r="D11" s="12">
        <f>Sheet2!S11</f>
        <v>1265283.8699999999</v>
      </c>
      <c r="E11" s="9">
        <f t="shared" si="0"/>
        <v>0.10030406391752915</v>
      </c>
      <c r="F11" s="9">
        <f t="shared" si="3"/>
        <v>3.5509260621366678</v>
      </c>
      <c r="G11" s="9">
        <f t="shared" si="1"/>
        <v>0.20364876701034995</v>
      </c>
      <c r="H11" s="9">
        <f>SUM($D$4:D11)/$D$16</f>
        <v>0.80187334453029935</v>
      </c>
      <c r="I11" s="7">
        <f t="shared" si="2"/>
        <v>1051206.8841666665</v>
      </c>
    </row>
    <row r="12" spans="1:24" x14ac:dyDescent="0.3">
      <c r="A12" s="11" t="str">
        <f>LEFT(Sheet2!R12,3)</f>
        <v>Sep</v>
      </c>
      <c r="B12" s="11" t="str">
        <f>Sheet2!R12</f>
        <v>September</v>
      </c>
      <c r="C12" s="11" t="str">
        <f>"Q"&amp;ROUNDUP(Sheet2!Q12/3,0)</f>
        <v>Q3</v>
      </c>
      <c r="D12" s="12">
        <f>Sheet2!S12</f>
        <v>4115.4399999999996</v>
      </c>
      <c r="E12" s="9">
        <f t="shared" si="0"/>
        <v>3.2624722925516796E-4</v>
      </c>
      <c r="F12" s="9">
        <f t="shared" si="3"/>
        <v>-0.99674741763680275</v>
      </c>
      <c r="G12" s="9">
        <f t="shared" si="1"/>
        <v>-0.99608503324893793</v>
      </c>
      <c r="H12" s="9">
        <f>SUM($D$4:D12)/$D$16</f>
        <v>0.80219959175955446</v>
      </c>
      <c r="I12" s="7">
        <f t="shared" si="2"/>
        <v>1051206.8841666665</v>
      </c>
    </row>
    <row r="13" spans="1:24" x14ac:dyDescent="0.3">
      <c r="A13" s="11" t="str">
        <f>LEFT(Sheet2!R13,3)</f>
        <v>Oct</v>
      </c>
      <c r="B13" s="11" t="str">
        <f>Sheet2!R13</f>
        <v>October</v>
      </c>
      <c r="C13" s="11" t="str">
        <f>"Q"&amp;ROUNDUP(Sheet2!Q13/3,0)</f>
        <v>Q4</v>
      </c>
      <c r="D13" s="12">
        <f>Sheet2!S13</f>
        <v>10323.74</v>
      </c>
      <c r="E13" s="9">
        <f t="shared" si="0"/>
        <v>8.1840376012060631E-4</v>
      </c>
      <c r="F13" s="9">
        <f t="shared" si="3"/>
        <v>1.5085385766770991</v>
      </c>
      <c r="G13" s="9">
        <f t="shared" si="1"/>
        <v>-0.99017915487855268</v>
      </c>
      <c r="H13" s="9">
        <f>SUM($D$4:D13)/$D$16</f>
        <v>0.80301799551967512</v>
      </c>
      <c r="I13" s="7">
        <f t="shared" si="2"/>
        <v>1051206.8841666665</v>
      </c>
    </row>
    <row r="14" spans="1:24" x14ac:dyDescent="0.3">
      <c r="A14" s="11" t="str">
        <f>LEFT(Sheet2!R14,3)</f>
        <v>Nov</v>
      </c>
      <c r="B14" s="11" t="str">
        <f>Sheet2!R14</f>
        <v>November</v>
      </c>
      <c r="C14" s="11" t="str">
        <f>"Q"&amp;ROUNDUP(Sheet2!Q14/3,0)</f>
        <v>Q4</v>
      </c>
      <c r="D14" s="12">
        <f>Sheet2!S14</f>
        <v>231048.53999999998</v>
      </c>
      <c r="E14" s="9">
        <f t="shared" si="0"/>
        <v>1.8316132904003423E-2</v>
      </c>
      <c r="F14" s="9">
        <f t="shared" si="3"/>
        <v>21.380313723514927</v>
      </c>
      <c r="G14" s="9">
        <f t="shared" si="1"/>
        <v>-0.78020640515195894</v>
      </c>
      <c r="H14" s="9">
        <f>SUM($D$4:D14)/$D$16</f>
        <v>0.82133412842367848</v>
      </c>
      <c r="I14" s="7">
        <f t="shared" si="2"/>
        <v>1051206.8841666665</v>
      </c>
    </row>
    <row r="15" spans="1:24" x14ac:dyDescent="0.3">
      <c r="A15" s="11" t="str">
        <f>LEFT(Sheet2!R15,3)</f>
        <v>Dec</v>
      </c>
      <c r="B15" s="11" t="str">
        <f>Sheet2!R15</f>
        <v>December</v>
      </c>
      <c r="C15" s="11" t="str">
        <f>"Q"&amp;ROUNDUP(Sheet2!Q15/3,0)</f>
        <v>Q4</v>
      </c>
      <c r="D15" s="12">
        <f>Sheet2!S15</f>
        <v>2253777.5300000003</v>
      </c>
      <c r="E15" s="9">
        <f t="shared" si="0"/>
        <v>0.17866587157632147</v>
      </c>
      <c r="F15" s="9">
        <f t="shared" si="3"/>
        <v>8.754562958934951</v>
      </c>
      <c r="G15" s="9">
        <f t="shared" si="1"/>
        <v>1.1439904589158578</v>
      </c>
      <c r="H15" s="9">
        <f>SUM($D$4:D15)/$D$16</f>
        <v>1</v>
      </c>
      <c r="I15" s="7">
        <f t="shared" si="2"/>
        <v>1051206.8841666665</v>
      </c>
    </row>
    <row r="16" spans="1:24" x14ac:dyDescent="0.3">
      <c r="A16" s="6" t="s">
        <v>41</v>
      </c>
      <c r="B16" s="6"/>
      <c r="C16" s="6"/>
      <c r="D16" s="8">
        <f>SUM(D4:D15)</f>
        <v>12614482.609999999</v>
      </c>
      <c r="E16" s="10">
        <f>SUM(E4:E15)</f>
        <v>1</v>
      </c>
      <c r="F16" s="10"/>
      <c r="G16" s="10"/>
      <c r="H16" s="10"/>
      <c r="I16" s="6"/>
    </row>
    <row r="19" spans="1:16" x14ac:dyDescent="0.3">
      <c r="A19" s="17" t="s">
        <v>80</v>
      </c>
    </row>
    <row r="21" spans="1:16" x14ac:dyDescent="0.3">
      <c r="A21" s="18" t="s">
        <v>33</v>
      </c>
      <c r="B21" s="18" t="s">
        <v>81</v>
      </c>
      <c r="C21" s="18" t="s">
        <v>82</v>
      </c>
      <c r="E21" s="18" t="s">
        <v>34</v>
      </c>
      <c r="F21" s="18" t="s">
        <v>35</v>
      </c>
      <c r="H21" s="18" t="s">
        <v>11</v>
      </c>
      <c r="I21" s="18" t="s">
        <v>35</v>
      </c>
      <c r="K21" s="18" t="s">
        <v>48</v>
      </c>
      <c r="L21" s="18" t="s">
        <v>35</v>
      </c>
      <c r="N21" s="18" t="s">
        <v>11</v>
      </c>
      <c r="O21" s="18" t="s">
        <v>83</v>
      </c>
      <c r="P21" s="18" t="s">
        <v>39</v>
      </c>
    </row>
    <row r="22" spans="1:16" x14ac:dyDescent="0.3">
      <c r="A22" t="str">
        <f>A4</f>
        <v>Jan</v>
      </c>
      <c r="B22">
        <f>D4</f>
        <v>3480552.5999999996</v>
      </c>
      <c r="C22">
        <f>$I$4</f>
        <v>1051206.8841666665</v>
      </c>
      <c r="E22" t="str">
        <f>K4</f>
        <v>Q1</v>
      </c>
      <c r="F22">
        <f>L4</f>
        <v>7829498.8499999996</v>
      </c>
      <c r="H22" t="str">
        <f>P9</f>
        <v>Office Supplies</v>
      </c>
      <c r="I22" s="7">
        <f>Q9</f>
        <v>16395.5</v>
      </c>
      <c r="K22" t="str">
        <f>V4</f>
        <v>Supply Chain</v>
      </c>
      <c r="L22">
        <f>X4</f>
        <v>5880295.1000000006</v>
      </c>
      <c r="N22" t="str">
        <f>P4</f>
        <v>Raw Materials</v>
      </c>
      <c r="O22">
        <f>R4</f>
        <v>0.68686830985293978</v>
      </c>
      <c r="P22">
        <f>S4</f>
        <v>0.68686830985293978</v>
      </c>
    </row>
    <row r="23" spans="1:16" x14ac:dyDescent="0.3">
      <c r="A23" t="str">
        <f t="shared" ref="A23:A33" si="4">A5</f>
        <v>Feb</v>
      </c>
      <c r="B23">
        <f t="shared" ref="B23:B33" si="5">D5</f>
        <v>584841.79999999993</v>
      </c>
      <c r="C23">
        <f t="shared" ref="C23:C33" si="6">$I$4</f>
        <v>1051206.8841666665</v>
      </c>
      <c r="E23" t="str">
        <f t="shared" ref="E23:F23" si="7">K5</f>
        <v>Q2</v>
      </c>
      <c r="F23">
        <f t="shared" si="7"/>
        <v>742406.86</v>
      </c>
      <c r="H23" t="str">
        <f>P8</f>
        <v>Packaging</v>
      </c>
      <c r="I23" s="7">
        <f>Q8</f>
        <v>20395.739999999998</v>
      </c>
      <c r="K23" t="str">
        <f t="shared" ref="K23:K25" si="8">V5</f>
        <v>Production</v>
      </c>
      <c r="L23">
        <f t="shared" ref="L23:L25" si="9">X5</f>
        <v>5528617.8499999996</v>
      </c>
      <c r="N23" t="str">
        <f t="shared" ref="N23:N27" si="10">P5</f>
        <v>IT Equipment</v>
      </c>
      <c r="O23">
        <f t="shared" ref="O23:P23" si="11">R5</f>
        <v>0.1891726655604784</v>
      </c>
      <c r="P23">
        <f t="shared" si="11"/>
        <v>0.87604097541341819</v>
      </c>
    </row>
    <row r="24" spans="1:16" x14ac:dyDescent="0.3">
      <c r="A24" t="str">
        <f t="shared" si="4"/>
        <v>Mar</v>
      </c>
      <c r="B24">
        <f t="shared" si="5"/>
        <v>3764104.45</v>
      </c>
      <c r="C24">
        <f t="shared" si="6"/>
        <v>1051206.8841666665</v>
      </c>
      <c r="E24" t="str">
        <f t="shared" ref="E24:F24" si="12">K6</f>
        <v>Q3</v>
      </c>
      <c r="F24">
        <f t="shared" si="12"/>
        <v>1547427.0899999999</v>
      </c>
      <c r="H24" t="str">
        <f>P7</f>
        <v>MRO</v>
      </c>
      <c r="I24" s="7">
        <f>Q7</f>
        <v>329113.49</v>
      </c>
      <c r="K24" t="str">
        <f t="shared" si="8"/>
        <v>Admin</v>
      </c>
      <c r="L24">
        <f t="shared" si="9"/>
        <v>610542.52</v>
      </c>
      <c r="N24" t="str">
        <f t="shared" si="10"/>
        <v>Logistics</v>
      </c>
      <c r="O24">
        <f t="shared" ref="O24:P24" si="13">R6</f>
        <v>9.4952307362212177E-2</v>
      </c>
      <c r="P24">
        <f t="shared" si="13"/>
        <v>0.97099328277563035</v>
      </c>
    </row>
    <row r="25" spans="1:16" x14ac:dyDescent="0.3">
      <c r="A25" t="str">
        <f t="shared" si="4"/>
        <v>Apr</v>
      </c>
      <c r="B25">
        <f t="shared" si="5"/>
        <v>129550.41</v>
      </c>
      <c r="C25">
        <f t="shared" si="6"/>
        <v>1051206.8841666665</v>
      </c>
      <c r="E25" t="str">
        <f t="shared" ref="E25:F25" si="14">K7</f>
        <v>Q4</v>
      </c>
      <c r="F25">
        <f t="shared" si="14"/>
        <v>2495149.81</v>
      </c>
      <c r="H25" t="str">
        <f>P6</f>
        <v>Logistics</v>
      </c>
      <c r="I25" s="7">
        <f>Q6</f>
        <v>1197774.23</v>
      </c>
      <c r="K25" t="str">
        <f t="shared" si="8"/>
        <v>IT</v>
      </c>
      <c r="L25">
        <f t="shared" si="9"/>
        <v>595027.1399999999</v>
      </c>
      <c r="N25" t="str">
        <f t="shared" si="10"/>
        <v>MRO</v>
      </c>
      <c r="O25">
        <f t="shared" ref="O25:P25" si="15">R7</f>
        <v>2.6090129906643878E-2</v>
      </c>
      <c r="P25">
        <f t="shared" si="15"/>
        <v>0.99708341268227418</v>
      </c>
    </row>
    <row r="26" spans="1:16" x14ac:dyDescent="0.3">
      <c r="A26" t="str">
        <f t="shared" si="4"/>
        <v>May</v>
      </c>
      <c r="B26">
        <f t="shared" si="5"/>
        <v>454227.29999999993</v>
      </c>
      <c r="C26">
        <f t="shared" si="6"/>
        <v>1051206.8841666665</v>
      </c>
      <c r="H26" t="str">
        <f>P5</f>
        <v>IT Equipment</v>
      </c>
      <c r="I26" s="7">
        <f>Q5</f>
        <v>2386315.2999999998</v>
      </c>
      <c r="N26" t="str">
        <f t="shared" si="10"/>
        <v>Packaging</v>
      </c>
      <c r="O26">
        <f t="shared" ref="O26:P26" si="16">R8</f>
        <v>1.6168510933481722E-3</v>
      </c>
      <c r="P26">
        <f t="shared" si="16"/>
        <v>0.99870026377562238</v>
      </c>
    </row>
    <row r="27" spans="1:16" x14ac:dyDescent="0.3">
      <c r="A27" t="str">
        <f t="shared" si="4"/>
        <v>Jun</v>
      </c>
      <c r="B27">
        <f t="shared" si="5"/>
        <v>158629.15</v>
      </c>
      <c r="C27">
        <f t="shared" si="6"/>
        <v>1051206.8841666665</v>
      </c>
      <c r="H27" t="str">
        <f>P4</f>
        <v>Raw Materials</v>
      </c>
      <c r="I27" s="7">
        <f>Q4</f>
        <v>8664488.3499999978</v>
      </c>
      <c r="N27" t="str">
        <f t="shared" si="10"/>
        <v>Office Supplies</v>
      </c>
      <c r="O27">
        <f t="shared" ref="O27:P27" si="17">R9</f>
        <v>1.2997362243777357E-3</v>
      </c>
      <c r="P27">
        <f t="shared" si="17"/>
        <v>1.0000000000000002</v>
      </c>
    </row>
    <row r="28" spans="1:16" x14ac:dyDescent="0.3">
      <c r="A28" t="str">
        <f t="shared" si="4"/>
        <v>Jul</v>
      </c>
      <c r="B28">
        <f t="shared" si="5"/>
        <v>278027.78000000003</v>
      </c>
      <c r="C28">
        <f t="shared" si="6"/>
        <v>1051206.8841666665</v>
      </c>
    </row>
    <row r="29" spans="1:16" x14ac:dyDescent="0.3">
      <c r="A29" t="str">
        <f t="shared" si="4"/>
        <v>Aug</v>
      </c>
      <c r="B29">
        <f t="shared" si="5"/>
        <v>1265283.8699999999</v>
      </c>
      <c r="C29">
        <f t="shared" si="6"/>
        <v>1051206.8841666665</v>
      </c>
    </row>
    <row r="30" spans="1:16" x14ac:dyDescent="0.3">
      <c r="A30" t="str">
        <f t="shared" si="4"/>
        <v>Sep</v>
      </c>
      <c r="B30">
        <f t="shared" si="5"/>
        <v>4115.4399999999996</v>
      </c>
      <c r="C30">
        <f t="shared" si="6"/>
        <v>1051206.8841666665</v>
      </c>
    </row>
    <row r="31" spans="1:16" x14ac:dyDescent="0.3">
      <c r="A31" t="str">
        <f t="shared" si="4"/>
        <v>Oct</v>
      </c>
      <c r="B31">
        <f t="shared" si="5"/>
        <v>10323.74</v>
      </c>
      <c r="C31">
        <f t="shared" si="6"/>
        <v>1051206.8841666665</v>
      </c>
    </row>
    <row r="32" spans="1:16" x14ac:dyDescent="0.3">
      <c r="A32" t="str">
        <f t="shared" si="4"/>
        <v>Nov</v>
      </c>
      <c r="B32">
        <f t="shared" si="5"/>
        <v>231048.53999999998</v>
      </c>
      <c r="C32">
        <f t="shared" si="6"/>
        <v>1051206.8841666665</v>
      </c>
    </row>
    <row r="33" spans="1:3" x14ac:dyDescent="0.3">
      <c r="A33" t="str">
        <f t="shared" si="4"/>
        <v>Dec</v>
      </c>
      <c r="B33">
        <f t="shared" si="5"/>
        <v>2253777.5300000003</v>
      </c>
      <c r="C33">
        <f t="shared" si="6"/>
        <v>1051206.8841666665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6E6F33E1-F3BA-456D-8106-AC68CCB929D5}">
  <ds:schemaRefs/>
</ds:datastoreItem>
</file>

<file path=customXml/itemProps2.xml><?xml version="1.0" encoding="utf-8"?>
<ds:datastoreItem xmlns:ds="http://schemas.openxmlformats.org/officeDocument/2006/customXml" ds:itemID="{50B38B95-B0FF-404C-A832-AD8841BED8F2}">
  <ds:schemaRefs/>
</ds:datastoreItem>
</file>

<file path=customXml/itemProps3.xml><?xml version="1.0" encoding="utf-8"?>
<ds:datastoreItem xmlns:ds="http://schemas.openxmlformats.org/officeDocument/2006/customXml" ds:itemID="{36F2861F-307C-47C9-A798-96E68CD46673}">
  <ds:schemaRefs/>
</ds:datastoreItem>
</file>

<file path=customXml/itemProps4.xml><?xml version="1.0" encoding="utf-8"?>
<ds:datastoreItem xmlns:ds="http://schemas.openxmlformats.org/officeDocument/2006/customXml" ds:itemID="{D264BCB4-EDBB-4720-A1FF-359114C3AB95}">
  <ds:schemaRefs/>
</ds:datastoreItem>
</file>

<file path=customXml/itemProps5.xml><?xml version="1.0" encoding="utf-8"?>
<ds:datastoreItem xmlns:ds="http://schemas.openxmlformats.org/officeDocument/2006/customXml" ds:itemID="{2F013E38-CC4E-4E00-BCA6-EBD37813AF1D}">
  <ds:schemaRefs/>
</ds:datastoreItem>
</file>

<file path=customXml/itemProps6.xml><?xml version="1.0" encoding="utf-8"?>
<ds:datastoreItem xmlns:ds="http://schemas.openxmlformats.org/officeDocument/2006/customXml" ds:itemID="{3B1CAF0F-E730-4408-B01C-6692FC8FB4D0}">
  <ds:schemaRefs/>
</ds:datastoreItem>
</file>

<file path=customXml/itemProps7.xml><?xml version="1.0" encoding="utf-8"?>
<ds:datastoreItem xmlns:ds="http://schemas.openxmlformats.org/officeDocument/2006/customXml" ds:itemID="{4DC0DB99-CB10-4FB6-B188-F016937F0E85}">
  <ds:schemaRefs/>
</ds:datastoreItem>
</file>

<file path=customXml/itemProps8.xml><?xml version="1.0" encoding="utf-8"?>
<ds:datastoreItem xmlns:ds="http://schemas.openxmlformats.org/officeDocument/2006/customXml" ds:itemID="{639A5432-5F71-4838-99A8-0966D7665BD9}">
  <ds:schemaRefs/>
</ds:datastoreItem>
</file>

<file path=customXml/itemProps9.xml><?xml version="1.0" encoding="utf-8"?>
<ds:datastoreItem xmlns:ds="http://schemas.openxmlformats.org/officeDocument/2006/customXml" ds:itemID="{1C6E094C-01B0-4B7C-BE62-C5B6B2CB6634}">
  <ds:schemaRefs/>
</ds:datastoreItem>
</file>

<file path=customXml/itemProps10.xml><?xml version="1.0" encoding="utf-8"?>
<ds:datastoreItem xmlns:ds="http://schemas.openxmlformats.org/officeDocument/2006/customXml" ds:itemID="{09689E3C-452A-4AD8-AC50-AD97342B78B3}">
  <ds:schemaRefs/>
</ds:datastoreItem>
</file>

<file path=customXml/itemProps11.xml><?xml version="1.0" encoding="utf-8"?>
<ds:datastoreItem xmlns:ds="http://schemas.openxmlformats.org/officeDocument/2006/customXml" ds:itemID="{FEF24CAD-5A04-4CA8-8918-84B812F8D492}">
  <ds:schemaRefs/>
</ds:datastoreItem>
</file>

<file path=customXml/itemProps12.xml><?xml version="1.0" encoding="utf-8"?>
<ds:datastoreItem xmlns:ds="http://schemas.openxmlformats.org/officeDocument/2006/customXml" ds:itemID="{636DA018-9589-4132-BE99-4AAFDB7630E4}">
  <ds:schemaRefs/>
</ds:datastoreItem>
</file>

<file path=customXml/itemProps13.xml><?xml version="1.0" encoding="utf-8"?>
<ds:datastoreItem xmlns:ds="http://schemas.openxmlformats.org/officeDocument/2006/customXml" ds:itemID="{62FBA673-178F-41F1-B00A-58FAA7D64407}">
  <ds:schemaRefs/>
</ds:datastoreItem>
</file>

<file path=customXml/itemProps14.xml><?xml version="1.0" encoding="utf-8"?>
<ds:datastoreItem xmlns:ds="http://schemas.openxmlformats.org/officeDocument/2006/customXml" ds:itemID="{4B05B7BA-C8A2-495A-9CA6-70081D7658A0}">
  <ds:schemaRefs/>
</ds:datastoreItem>
</file>

<file path=customXml/itemProps15.xml><?xml version="1.0" encoding="utf-8"?>
<ds:datastoreItem xmlns:ds="http://schemas.openxmlformats.org/officeDocument/2006/customXml" ds:itemID="{426B6682-278C-479C-A042-61A76A57A52D}">
  <ds:schemaRefs/>
</ds:datastoreItem>
</file>

<file path=customXml/itemProps16.xml><?xml version="1.0" encoding="utf-8"?>
<ds:datastoreItem xmlns:ds="http://schemas.openxmlformats.org/officeDocument/2006/customXml" ds:itemID="{AF725C47-7333-44D6-98CE-C82977F68B1A}">
  <ds:schemaRefs/>
</ds:datastoreItem>
</file>

<file path=customXml/itemProps17.xml><?xml version="1.0" encoding="utf-8"?>
<ds:datastoreItem xmlns:ds="http://schemas.openxmlformats.org/officeDocument/2006/customXml" ds:itemID="{D1F75CD2-BD23-4411-BF97-8686D59A12D6}">
  <ds:schemaRefs/>
</ds:datastoreItem>
</file>

<file path=customXml/itemProps18.xml><?xml version="1.0" encoding="utf-8"?>
<ds:datastoreItem xmlns:ds="http://schemas.openxmlformats.org/officeDocument/2006/customXml" ds:itemID="{79512EC1-2700-4F84-B0D8-1CD2B25CD26A}">
  <ds:schemaRefs/>
</ds:datastoreItem>
</file>

<file path=customXml/itemProps19.xml><?xml version="1.0" encoding="utf-8"?>
<ds:datastoreItem xmlns:ds="http://schemas.openxmlformats.org/officeDocument/2006/customXml" ds:itemID="{D1349062-C344-490B-9F14-5295086B0400}">
  <ds:schemaRefs/>
</ds:datastoreItem>
</file>

<file path=customXml/itemProps20.xml><?xml version="1.0" encoding="utf-8"?>
<ds:datastoreItem xmlns:ds="http://schemas.openxmlformats.org/officeDocument/2006/customXml" ds:itemID="{BE081B75-1208-451C-9123-6DCEFED35D3E}">
  <ds:schemaRefs/>
</ds:datastoreItem>
</file>

<file path=customXml/itemProps21.xml><?xml version="1.0" encoding="utf-8"?>
<ds:datastoreItem xmlns:ds="http://schemas.openxmlformats.org/officeDocument/2006/customXml" ds:itemID="{D9E8DD5D-CB89-4073-B87E-14A6D368570B}">
  <ds:schemaRefs/>
</ds:datastoreItem>
</file>

<file path=customXml/itemProps22.xml><?xml version="1.0" encoding="utf-8"?>
<ds:datastoreItem xmlns:ds="http://schemas.openxmlformats.org/officeDocument/2006/customXml" ds:itemID="{E84630B4-B38B-476B-8B7B-81635894AA6C}">
  <ds:schemaRefs/>
</ds:datastoreItem>
</file>

<file path=customXml/itemProps23.xml><?xml version="1.0" encoding="utf-8"?>
<ds:datastoreItem xmlns:ds="http://schemas.openxmlformats.org/officeDocument/2006/customXml" ds:itemID="{C15DCA83-30B4-4028-9CFA-13EB7C8320A5}">
  <ds:schemaRefs/>
</ds:datastoreItem>
</file>

<file path=customXml/itemProps24.xml><?xml version="1.0" encoding="utf-8"?>
<ds:datastoreItem xmlns:ds="http://schemas.openxmlformats.org/officeDocument/2006/customXml" ds:itemID="{61012E57-BA3C-4DD5-B91B-D5AB98DB7CF3}">
  <ds:schemaRefs>
    <ds:schemaRef ds:uri="http://schemas.microsoft.com/DataMashup"/>
  </ds:schemaRefs>
</ds:datastoreItem>
</file>

<file path=customXml/itemProps25.xml><?xml version="1.0" encoding="utf-8"?>
<ds:datastoreItem xmlns:ds="http://schemas.openxmlformats.org/officeDocument/2006/customXml" ds:itemID="{87AE15AE-B0D3-4755-A391-91191392D0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Details</vt:lpstr>
      <vt:lpstr>Sheet2</vt:lpstr>
      <vt:lpstr>Dashboard Data</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Siddique Fahad</dc:creator>
  <cp:lastModifiedBy>ismam tasnime romith</cp:lastModifiedBy>
  <dcterms:created xsi:type="dcterms:W3CDTF">2026-07-14T15:28:27Z</dcterms:created>
  <dcterms:modified xsi:type="dcterms:W3CDTF">2026-09-30T19:48:44Z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2026-07-14T16:20:21Z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59c38470-a71c-447b-86cd-e532c5a636ec</vt:lpwstr>
  </property>
  <property fmtid="{D5CDD505-2E9C-101B-9397-08002B2CF9AE}" pid="7" name="MSIP_Label_defa4170-0d19-0005-0004-bc88714345d2_ActionId">
    <vt:lpwstr>71e38b9d-6bd0-4de9-ba88-b69af6a7f4f7</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